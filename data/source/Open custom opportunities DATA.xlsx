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1.Personality\2.Scaned\CV\Job2\Job\41.work1_Data AnalystEngineer-Alto EE\interview\1.Finla round\Aalto_ee_working\"/>
    </mc:Choice>
  </mc:AlternateContent>
  <xr:revisionPtr revIDLastSave="0" documentId="13_ncr:1_{B1670FBB-344D-4761-90CE-745088AF0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2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6" i="1"/>
  <c r="L127" i="1"/>
</calcChain>
</file>

<file path=xl/sharedStrings.xml><?xml version="1.0" encoding="utf-8"?>
<sst xmlns="http://schemas.openxmlformats.org/spreadsheetml/2006/main" count="642" uniqueCount="155">
  <si>
    <t>Status</t>
  </si>
  <si>
    <t>Est. Closing Date</t>
  </si>
  <si>
    <t>Closing Date</t>
  </si>
  <si>
    <t>Program start (simulated)</t>
  </si>
  <si>
    <t>Interest / Opportunity</t>
  </si>
  <si>
    <t>Expected Accrued Net Sales for This Year %</t>
  </si>
  <si>
    <t>Expected Accrued Net Sales for Next Year %</t>
  </si>
  <si>
    <t>Probability</t>
  </si>
  <si>
    <t>Value in €</t>
  </si>
  <si>
    <t>Est. Value</t>
  </si>
  <si>
    <t>Weighted Est. Value_</t>
  </si>
  <si>
    <t>Weighted Est. Value this year</t>
  </si>
  <si>
    <t>Business Area</t>
  </si>
  <si>
    <t>P&amp;LS BU</t>
  </si>
  <si>
    <t>Open</t>
  </si>
  <si>
    <t>Open custom opportunity 1</t>
  </si>
  <si>
    <t>50 %</t>
  </si>
  <si>
    <t>Organizations Segment</t>
  </si>
  <si>
    <t>ExEd Programs BU</t>
  </si>
  <si>
    <t>Open custom opportunity 2</t>
  </si>
  <si>
    <t>Open custom opportunity 3</t>
  </si>
  <si>
    <t>Open custom opportunity 4</t>
  </si>
  <si>
    <t>Open custom opportunity 5</t>
  </si>
  <si>
    <t>75 %</t>
  </si>
  <si>
    <t>Open custom opportunity 6</t>
  </si>
  <si>
    <t>Open custom opportunity 7</t>
  </si>
  <si>
    <t>90 %</t>
  </si>
  <si>
    <t>Qualification Programs BU</t>
  </si>
  <si>
    <t>Open custom opportunity 8</t>
  </si>
  <si>
    <t>30 %</t>
  </si>
  <si>
    <t>Open custom opportunity 9</t>
  </si>
  <si>
    <t>Open custom opportunity 10</t>
  </si>
  <si>
    <t>Open custom opportunity 11</t>
  </si>
  <si>
    <t>University Programs BU</t>
  </si>
  <si>
    <t>Open custom opportunity 12</t>
  </si>
  <si>
    <t>25 %</t>
  </si>
  <si>
    <t>Open custom opportunity 13</t>
  </si>
  <si>
    <t>Open custom opportunity 14</t>
  </si>
  <si>
    <t>Open custom opportunity 15</t>
  </si>
  <si>
    <t>Open custom opportunity 16</t>
  </si>
  <si>
    <t>Open custom opportunity 17</t>
  </si>
  <si>
    <t>Open custom opportunity 18</t>
  </si>
  <si>
    <t>Open custom opportunity 19</t>
  </si>
  <si>
    <t>Open custom opportunity 20</t>
  </si>
  <si>
    <t>5 %</t>
  </si>
  <si>
    <t>Open custom opportunity 21</t>
  </si>
  <si>
    <t>Open custom opportunity 22</t>
  </si>
  <si>
    <t>35 %</t>
  </si>
  <si>
    <t>Open custom opportunity 23</t>
  </si>
  <si>
    <t>Open custom opportunity 24</t>
  </si>
  <si>
    <t>Open custom opportunity 25</t>
  </si>
  <si>
    <t>Open custom opportunity 26</t>
  </si>
  <si>
    <t>Open custom opportunity 27</t>
  </si>
  <si>
    <t>Open custom opportunity 28</t>
  </si>
  <si>
    <t>Open custom opportunity 29</t>
  </si>
  <si>
    <t>Open custom opportunity 30</t>
  </si>
  <si>
    <t>10 %</t>
  </si>
  <si>
    <t>Open custom opportunity 31</t>
  </si>
  <si>
    <t>Open custom opportunity 32</t>
  </si>
  <si>
    <t>Open custom opportunity 33</t>
  </si>
  <si>
    <t>Open custom opportunity 34</t>
  </si>
  <si>
    <t>Open custom opportunity 35</t>
  </si>
  <si>
    <t>Open custom opportunity 36</t>
  </si>
  <si>
    <t>Open custom opportunity 37</t>
  </si>
  <si>
    <t>Open custom opportunity 38</t>
  </si>
  <si>
    <t>Open custom opportunity 39</t>
  </si>
  <si>
    <t>Open custom opportunity 40</t>
  </si>
  <si>
    <t>Open custom opportunity 41</t>
  </si>
  <si>
    <t>Open custom opportunity 42</t>
  </si>
  <si>
    <t>Open custom opportunity 43</t>
  </si>
  <si>
    <t>Open custom opportunity 44</t>
  </si>
  <si>
    <t>Open custom opportunity 45</t>
  </si>
  <si>
    <t>Open custom opportunity 46</t>
  </si>
  <si>
    <t>Open custom opportunity 47</t>
  </si>
  <si>
    <t>Open custom opportunity 48</t>
  </si>
  <si>
    <t>Open custom opportunity 49</t>
  </si>
  <si>
    <t>Open custom opportunity 50</t>
  </si>
  <si>
    <t>Open custom opportunity 51</t>
  </si>
  <si>
    <t>Open custom opportunity 52</t>
  </si>
  <si>
    <t>Open custom opportunity 53</t>
  </si>
  <si>
    <t>Open custom opportunity 54</t>
  </si>
  <si>
    <t>Open custom opportunity 55</t>
  </si>
  <si>
    <t>Open custom opportunity 56</t>
  </si>
  <si>
    <t>Open custom opportunity 57</t>
  </si>
  <si>
    <t>Open custom opportunity 58</t>
  </si>
  <si>
    <t>Open custom opportunity 59</t>
  </si>
  <si>
    <t>60 %</t>
  </si>
  <si>
    <t>Open custom opportunity 60</t>
  </si>
  <si>
    <t>Open custom opportunity 61</t>
  </si>
  <si>
    <t>Open custom opportunity 62</t>
  </si>
  <si>
    <t>Open custom opportunity 63</t>
  </si>
  <si>
    <t>Open custom opportunity 64</t>
  </si>
  <si>
    <t>Open custom opportunity 65</t>
  </si>
  <si>
    <t>Open custom opportunity 66</t>
  </si>
  <si>
    <t>Open custom opportunity 67</t>
  </si>
  <si>
    <t>Open custom opportunity 68</t>
  </si>
  <si>
    <t>Open custom opportunity 69</t>
  </si>
  <si>
    <t>Open custom opportunity 70</t>
  </si>
  <si>
    <t>Open custom opportunity 71</t>
  </si>
  <si>
    <t>100%</t>
  </si>
  <si>
    <t>Open custom opportunity 72</t>
  </si>
  <si>
    <t>Open custom opportunity 73</t>
  </si>
  <si>
    <t>Open custom opportunity 74</t>
  </si>
  <si>
    <t>Open custom opportunity 75</t>
  </si>
  <si>
    <t>Open custom opportunity 76</t>
  </si>
  <si>
    <t>Open custom opportunity 77</t>
  </si>
  <si>
    <t>Open custom opportunity 78</t>
  </si>
  <si>
    <t>Open custom opportunity 79</t>
  </si>
  <si>
    <t>Open custom opportunity 80</t>
  </si>
  <si>
    <t>Open custom opportunity 81</t>
  </si>
  <si>
    <t>Open custom opportunity 82</t>
  </si>
  <si>
    <t>Open custom opportunity 83</t>
  </si>
  <si>
    <t>Open custom opportunity 84</t>
  </si>
  <si>
    <t>Open custom opportunity 85</t>
  </si>
  <si>
    <t>Open custom opportunity 86</t>
  </si>
  <si>
    <t>Open custom opportunity 87</t>
  </si>
  <si>
    <t>Open custom opportunity 88</t>
  </si>
  <si>
    <t>Open custom opportunity 89</t>
  </si>
  <si>
    <t>Open custom opportunity 90</t>
  </si>
  <si>
    <t>Open custom opportunity 91</t>
  </si>
  <si>
    <t>Open custom opportunity 92</t>
  </si>
  <si>
    <t>Open custom opportunity 93</t>
  </si>
  <si>
    <t>Open custom opportunity 94</t>
  </si>
  <si>
    <t>Open custom opportunity 95</t>
  </si>
  <si>
    <t>Open custom opportunity 96</t>
  </si>
  <si>
    <t>Open custom opportunity 97</t>
  </si>
  <si>
    <t>Open custom opportunity 98</t>
  </si>
  <si>
    <t>Open custom opportunity 99</t>
  </si>
  <si>
    <t>Open custom opportunity 100</t>
  </si>
  <si>
    <t>Open custom opportunity 101</t>
  </si>
  <si>
    <t>Open custom opportunity 102</t>
  </si>
  <si>
    <t>Open custom opportunity 103</t>
  </si>
  <si>
    <t>Open custom opportunity 104</t>
  </si>
  <si>
    <t>Open custom opportunity 105</t>
  </si>
  <si>
    <t>Open custom opportunity 106</t>
  </si>
  <si>
    <t>Open custom opportunity 107</t>
  </si>
  <si>
    <t>Open custom opportunity 108</t>
  </si>
  <si>
    <t>Open custom opportunity 109</t>
  </si>
  <si>
    <t>Open custom opportunity 110</t>
  </si>
  <si>
    <t>Open custom opportunity 111</t>
  </si>
  <si>
    <t>Open custom opportunity 112</t>
  </si>
  <si>
    <t>Open custom opportunity 113</t>
  </si>
  <si>
    <t>Open custom opportunity 114</t>
  </si>
  <si>
    <t>Open custom opportunity 115</t>
  </si>
  <si>
    <t>Open custom opportunity 116</t>
  </si>
  <si>
    <t>Open custom opportunity 117</t>
  </si>
  <si>
    <t>Open custom opportunity 118</t>
  </si>
  <si>
    <t>Open custom opportunity 119</t>
  </si>
  <si>
    <t>Open custom opportunity 120</t>
  </si>
  <si>
    <t>Open custom opportunity 121</t>
  </si>
  <si>
    <t>Open custom opportunity 122</t>
  </si>
  <si>
    <t>Open custom opportunity 123</t>
  </si>
  <si>
    <t>Open custom opportunity 124</t>
  </si>
  <si>
    <t>Open custom opportunity 125</t>
  </si>
  <si>
    <t>Open custom opportunity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</si>
</sst>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/>
  </sheetViews>
  <sheetFormatPr defaultRowHeight="15" x14ac:dyDescent="0.25"/>
  <cols>
    <col min="1" max="1" width="16.7109375" customWidth="1"/>
    <col min="2" max="2" width="22" customWidth="1"/>
    <col min="3" max="3" width="26.42578125" customWidth="1"/>
    <col min="4" max="4" width="27.7109375" customWidth="1"/>
    <col min="5" max="5" width="20.7109375" customWidth="1"/>
    <col min="7" max="7" width="19.28515625" customWidth="1"/>
    <col min="8" max="8" width="17.28515625" customWidth="1"/>
    <col min="12" max="12" width="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47026</v>
      </c>
      <c r="C2" s="1">
        <v>47026</v>
      </c>
      <c r="D2" s="1">
        <v>47116</v>
      </c>
      <c r="E2" t="s">
        <v>15</v>
      </c>
      <c r="H2" t="s">
        <v>16</v>
      </c>
      <c r="I2">
        <v>133671.875</v>
      </c>
      <c r="J2">
        <v>133671.875</v>
      </c>
      <c r="K2">
        <v>66835.9375</v>
      </c>
      <c r="L2">
        <f>K2*F2/100</f>
        <v>0</v>
      </c>
      <c r="M2" t="s">
        <v>17</v>
      </c>
      <c r="N2" t="s">
        <v>18</v>
      </c>
    </row>
    <row r="3" spans="1:14" x14ac:dyDescent="0.25">
      <c r="A3" t="s">
        <v>14</v>
      </c>
      <c r="B3" s="1">
        <v>47026</v>
      </c>
      <c r="C3" s="1">
        <v>47026</v>
      </c>
      <c r="D3" s="1">
        <v>47116</v>
      </c>
      <c r="E3" t="s">
        <v>19</v>
      </c>
      <c r="F3">
        <v>0</v>
      </c>
      <c r="G3">
        <v>100</v>
      </c>
      <c r="H3" t="s">
        <v>16</v>
      </c>
      <c r="I3">
        <v>133671.875</v>
      </c>
      <c r="J3">
        <v>133671.875</v>
      </c>
      <c r="K3">
        <v>66835.9375</v>
      </c>
      <c r="L3">
        <f t="shared" ref="L3:L66" si="0">K3*F3/100</f>
        <v>0</v>
      </c>
      <c r="M3" t="s">
        <v>17</v>
      </c>
      <c r="N3" t="s">
        <v>18</v>
      </c>
    </row>
    <row r="4" spans="1:14" x14ac:dyDescent="0.25">
      <c r="A4" t="s">
        <v>14</v>
      </c>
      <c r="B4" s="1">
        <v>47026</v>
      </c>
      <c r="C4" s="1">
        <v>47026</v>
      </c>
      <c r="D4" s="1">
        <v>47116</v>
      </c>
      <c r="E4" t="s">
        <v>20</v>
      </c>
      <c r="F4">
        <v>25</v>
      </c>
      <c r="G4">
        <v>25</v>
      </c>
      <c r="H4" t="s">
        <v>16</v>
      </c>
      <c r="I4">
        <v>0</v>
      </c>
      <c r="J4">
        <v>0</v>
      </c>
      <c r="K4">
        <v>0</v>
      </c>
      <c r="L4">
        <f t="shared" si="0"/>
        <v>0</v>
      </c>
      <c r="M4" t="s">
        <v>17</v>
      </c>
      <c r="N4" t="s">
        <v>18</v>
      </c>
    </row>
    <row r="5" spans="1:14" x14ac:dyDescent="0.25">
      <c r="A5" t="s">
        <v>14</v>
      </c>
      <c r="B5" s="1">
        <v>46752</v>
      </c>
      <c r="C5" s="1">
        <v>46752</v>
      </c>
      <c r="D5" s="1">
        <v>46842</v>
      </c>
      <c r="E5" t="s">
        <v>21</v>
      </c>
      <c r="H5" t="s">
        <v>16</v>
      </c>
      <c r="I5">
        <v>0</v>
      </c>
      <c r="J5">
        <v>0</v>
      </c>
      <c r="K5">
        <v>0</v>
      </c>
      <c r="L5">
        <f t="shared" si="0"/>
        <v>0</v>
      </c>
      <c r="M5" t="s">
        <v>17</v>
      </c>
      <c r="N5" t="s">
        <v>18</v>
      </c>
    </row>
    <row r="6" spans="1:14" x14ac:dyDescent="0.25">
      <c r="A6" t="s">
        <v>14</v>
      </c>
      <c r="B6" s="1">
        <v>46629</v>
      </c>
      <c r="C6" s="1">
        <v>46629</v>
      </c>
      <c r="D6" s="1">
        <v>46719</v>
      </c>
      <c r="E6" t="s">
        <v>22</v>
      </c>
      <c r="G6">
        <v>100</v>
      </c>
      <c r="H6" t="s">
        <v>23</v>
      </c>
      <c r="I6">
        <v>203125</v>
      </c>
      <c r="J6">
        <v>203125</v>
      </c>
      <c r="K6">
        <v>152343.75</v>
      </c>
      <c r="L6">
        <f t="shared" si="0"/>
        <v>0</v>
      </c>
      <c r="M6" t="s">
        <v>17</v>
      </c>
      <c r="N6" t="s">
        <v>18</v>
      </c>
    </row>
    <row r="7" spans="1:14" x14ac:dyDescent="0.25">
      <c r="A7" t="s">
        <v>14</v>
      </c>
      <c r="B7" s="1">
        <v>46568</v>
      </c>
      <c r="C7" s="1">
        <v>46568</v>
      </c>
      <c r="D7" s="1">
        <v>46658</v>
      </c>
      <c r="E7" t="s">
        <v>24</v>
      </c>
      <c r="G7">
        <v>100</v>
      </c>
      <c r="H7" t="s">
        <v>16</v>
      </c>
      <c r="I7">
        <v>203125</v>
      </c>
      <c r="J7">
        <v>203125</v>
      </c>
      <c r="K7">
        <v>101562.5</v>
      </c>
      <c r="L7">
        <f t="shared" si="0"/>
        <v>0</v>
      </c>
      <c r="M7" t="s">
        <v>17</v>
      </c>
      <c r="N7" t="s">
        <v>18</v>
      </c>
    </row>
    <row r="8" spans="1:14" x14ac:dyDescent="0.25">
      <c r="A8" t="s">
        <v>14</v>
      </c>
      <c r="B8" s="1">
        <v>46555</v>
      </c>
      <c r="C8" s="1">
        <v>46555</v>
      </c>
      <c r="D8" s="1">
        <v>46645</v>
      </c>
      <c r="E8" t="s">
        <v>25</v>
      </c>
      <c r="H8" t="s">
        <v>26</v>
      </c>
      <c r="I8">
        <v>156250</v>
      </c>
      <c r="J8">
        <v>156250</v>
      </c>
      <c r="K8">
        <v>140625</v>
      </c>
      <c r="L8">
        <f t="shared" si="0"/>
        <v>0</v>
      </c>
      <c r="M8" t="s">
        <v>17</v>
      </c>
      <c r="N8" t="s">
        <v>27</v>
      </c>
    </row>
    <row r="9" spans="1:14" x14ac:dyDescent="0.25">
      <c r="A9" t="s">
        <v>14</v>
      </c>
      <c r="B9" s="1">
        <v>46538</v>
      </c>
      <c r="C9" s="1">
        <v>46538</v>
      </c>
      <c r="D9" s="1">
        <v>46628</v>
      </c>
      <c r="E9" t="s">
        <v>28</v>
      </c>
      <c r="F9">
        <v>0</v>
      </c>
      <c r="G9">
        <v>100</v>
      </c>
      <c r="H9" t="s">
        <v>29</v>
      </c>
      <c r="I9">
        <v>100000</v>
      </c>
      <c r="J9">
        <v>100000</v>
      </c>
      <c r="K9">
        <v>30000</v>
      </c>
      <c r="L9">
        <f t="shared" si="0"/>
        <v>0</v>
      </c>
      <c r="M9" t="s">
        <v>17</v>
      </c>
      <c r="N9" t="s">
        <v>18</v>
      </c>
    </row>
    <row r="10" spans="1:14" x14ac:dyDescent="0.25">
      <c r="A10" t="s">
        <v>14</v>
      </c>
      <c r="B10" s="1">
        <v>46508</v>
      </c>
      <c r="C10" s="1">
        <v>46508</v>
      </c>
      <c r="D10" s="1">
        <v>46598</v>
      </c>
      <c r="E10" t="s">
        <v>30</v>
      </c>
      <c r="F10">
        <v>0</v>
      </c>
      <c r="G10">
        <v>100</v>
      </c>
      <c r="H10" t="s">
        <v>23</v>
      </c>
      <c r="I10">
        <v>52500</v>
      </c>
      <c r="J10">
        <v>52500</v>
      </c>
      <c r="K10">
        <v>39375</v>
      </c>
      <c r="L10">
        <f t="shared" si="0"/>
        <v>0</v>
      </c>
      <c r="M10" t="s">
        <v>17</v>
      </c>
      <c r="N10" t="s">
        <v>18</v>
      </c>
    </row>
    <row r="11" spans="1:14" x14ac:dyDescent="0.25">
      <c r="A11" t="s">
        <v>14</v>
      </c>
      <c r="B11" s="1">
        <v>46507</v>
      </c>
      <c r="C11" s="1">
        <v>46507</v>
      </c>
      <c r="D11" s="1">
        <v>46597</v>
      </c>
      <c r="E11" t="s">
        <v>31</v>
      </c>
      <c r="F11">
        <v>0</v>
      </c>
      <c r="G11">
        <v>100</v>
      </c>
      <c r="H11" t="s">
        <v>29</v>
      </c>
      <c r="I11">
        <v>112500</v>
      </c>
      <c r="J11">
        <v>112500</v>
      </c>
      <c r="K11">
        <v>33750</v>
      </c>
      <c r="L11">
        <f t="shared" si="0"/>
        <v>0</v>
      </c>
      <c r="M11" t="s">
        <v>17</v>
      </c>
      <c r="N11" t="s">
        <v>18</v>
      </c>
    </row>
    <row r="12" spans="1:14" x14ac:dyDescent="0.25">
      <c r="A12" t="s">
        <v>14</v>
      </c>
      <c r="B12" s="1">
        <v>46507</v>
      </c>
      <c r="C12" s="1">
        <v>46507</v>
      </c>
      <c r="D12" s="1">
        <v>46597</v>
      </c>
      <c r="E12" t="s">
        <v>32</v>
      </c>
      <c r="F12">
        <v>0</v>
      </c>
      <c r="G12">
        <v>100</v>
      </c>
      <c r="H12" t="s">
        <v>23</v>
      </c>
      <c r="I12">
        <v>29400</v>
      </c>
      <c r="J12">
        <v>29400</v>
      </c>
      <c r="K12">
        <v>22050</v>
      </c>
      <c r="L12">
        <f t="shared" si="0"/>
        <v>0</v>
      </c>
      <c r="M12" t="s">
        <v>17</v>
      </c>
      <c r="N12" t="s">
        <v>33</v>
      </c>
    </row>
    <row r="13" spans="1:14" x14ac:dyDescent="0.25">
      <c r="A13" t="s">
        <v>14</v>
      </c>
      <c r="B13" s="1">
        <v>46477</v>
      </c>
      <c r="C13" s="1">
        <v>46477</v>
      </c>
      <c r="D13" s="1">
        <v>46567</v>
      </c>
      <c r="E13" t="s">
        <v>34</v>
      </c>
      <c r="F13">
        <v>100</v>
      </c>
      <c r="G13">
        <v>0</v>
      </c>
      <c r="H13" t="s">
        <v>35</v>
      </c>
      <c r="I13">
        <v>30000</v>
      </c>
      <c r="J13">
        <v>30000</v>
      </c>
      <c r="K13">
        <v>7500</v>
      </c>
      <c r="L13">
        <f t="shared" si="0"/>
        <v>7500</v>
      </c>
      <c r="M13" t="s">
        <v>17</v>
      </c>
      <c r="N13" t="s">
        <v>18</v>
      </c>
    </row>
    <row r="14" spans="1:14" x14ac:dyDescent="0.25">
      <c r="A14" t="s">
        <v>14</v>
      </c>
      <c r="B14" s="1">
        <v>46446</v>
      </c>
      <c r="C14" s="1">
        <v>46446</v>
      </c>
      <c r="D14" s="1">
        <v>46536</v>
      </c>
      <c r="E14" t="s">
        <v>36</v>
      </c>
      <c r="H14" t="s">
        <v>35</v>
      </c>
      <c r="I14">
        <v>37500</v>
      </c>
      <c r="J14">
        <v>37500</v>
      </c>
      <c r="K14">
        <v>9375</v>
      </c>
      <c r="L14">
        <f t="shared" si="0"/>
        <v>0</v>
      </c>
      <c r="M14" t="s">
        <v>17</v>
      </c>
      <c r="N14" t="s">
        <v>18</v>
      </c>
    </row>
    <row r="15" spans="1:14" x14ac:dyDescent="0.25">
      <c r="A15" t="s">
        <v>14</v>
      </c>
      <c r="B15" s="1">
        <v>46444</v>
      </c>
      <c r="C15" s="1">
        <v>46444</v>
      </c>
      <c r="D15" s="1">
        <v>46534</v>
      </c>
      <c r="E15" t="s">
        <v>37</v>
      </c>
      <c r="F15">
        <v>0</v>
      </c>
      <c r="G15">
        <v>100</v>
      </c>
      <c r="H15" t="s">
        <v>26</v>
      </c>
      <c r="I15">
        <v>29400</v>
      </c>
      <c r="J15">
        <v>29400</v>
      </c>
      <c r="K15">
        <v>26460</v>
      </c>
      <c r="L15">
        <f t="shared" si="0"/>
        <v>0</v>
      </c>
      <c r="M15" t="s">
        <v>17</v>
      </c>
      <c r="N15" t="s">
        <v>33</v>
      </c>
    </row>
    <row r="16" spans="1:14" x14ac:dyDescent="0.25">
      <c r="A16" t="s">
        <v>14</v>
      </c>
      <c r="B16" s="1">
        <v>46418</v>
      </c>
      <c r="C16" s="1">
        <v>46418</v>
      </c>
      <c r="D16" s="1">
        <v>46508</v>
      </c>
      <c r="E16" t="s">
        <v>38</v>
      </c>
      <c r="G16">
        <v>100</v>
      </c>
      <c r="H16" t="s">
        <v>35</v>
      </c>
      <c r="I16">
        <v>37500</v>
      </c>
      <c r="J16">
        <v>37500</v>
      </c>
      <c r="K16">
        <v>9375</v>
      </c>
      <c r="L16">
        <f t="shared" si="0"/>
        <v>0</v>
      </c>
      <c r="M16" t="s">
        <v>17</v>
      </c>
      <c r="N16" t="s">
        <v>33</v>
      </c>
    </row>
    <row r="17" spans="1:14" x14ac:dyDescent="0.25">
      <c r="A17" t="s">
        <v>14</v>
      </c>
      <c r="B17" s="1">
        <v>46395</v>
      </c>
      <c r="C17" s="1">
        <v>46395</v>
      </c>
      <c r="D17" s="1">
        <v>46485</v>
      </c>
      <c r="E17" t="s">
        <v>39</v>
      </c>
      <c r="F17">
        <v>0</v>
      </c>
      <c r="G17">
        <v>100</v>
      </c>
      <c r="H17" t="s">
        <v>16</v>
      </c>
      <c r="I17">
        <v>250000</v>
      </c>
      <c r="J17">
        <v>250000</v>
      </c>
      <c r="K17">
        <v>125000</v>
      </c>
      <c r="L17">
        <f t="shared" si="0"/>
        <v>0</v>
      </c>
      <c r="M17" t="s">
        <v>17</v>
      </c>
      <c r="N17" t="s">
        <v>33</v>
      </c>
    </row>
    <row r="18" spans="1:14" x14ac:dyDescent="0.25">
      <c r="A18" t="s">
        <v>14</v>
      </c>
      <c r="B18" s="1">
        <v>46388</v>
      </c>
      <c r="C18" s="1">
        <v>46388</v>
      </c>
      <c r="D18" s="1">
        <v>46478</v>
      </c>
      <c r="E18" t="s">
        <v>40</v>
      </c>
      <c r="H18" t="s">
        <v>16</v>
      </c>
      <c r="I18">
        <v>124750</v>
      </c>
      <c r="J18">
        <v>124750</v>
      </c>
      <c r="K18">
        <v>62375</v>
      </c>
      <c r="L18">
        <f t="shared" si="0"/>
        <v>0</v>
      </c>
      <c r="M18" t="s">
        <v>17</v>
      </c>
      <c r="N18" t="s">
        <v>18</v>
      </c>
    </row>
    <row r="19" spans="1:14" x14ac:dyDescent="0.25">
      <c r="A19" t="s">
        <v>14</v>
      </c>
      <c r="B19" s="1">
        <v>46388</v>
      </c>
      <c r="C19" s="1">
        <v>46388</v>
      </c>
      <c r="D19" s="1">
        <v>46478</v>
      </c>
      <c r="E19" t="s">
        <v>41</v>
      </c>
      <c r="H19" t="s">
        <v>16</v>
      </c>
      <c r="I19">
        <v>124750</v>
      </c>
      <c r="J19">
        <v>124750</v>
      </c>
      <c r="K19">
        <v>62375</v>
      </c>
      <c r="L19">
        <f t="shared" si="0"/>
        <v>0</v>
      </c>
      <c r="M19" t="s">
        <v>17</v>
      </c>
      <c r="N19" t="s">
        <v>18</v>
      </c>
    </row>
    <row r="20" spans="1:14" x14ac:dyDescent="0.25">
      <c r="A20" t="s">
        <v>14</v>
      </c>
      <c r="B20" s="1">
        <v>46387</v>
      </c>
      <c r="C20" s="1">
        <v>46387</v>
      </c>
      <c r="D20" s="1">
        <v>46477</v>
      </c>
      <c r="E20" t="s">
        <v>42</v>
      </c>
      <c r="H20" t="s">
        <v>35</v>
      </c>
      <c r="I20">
        <v>125000</v>
      </c>
      <c r="J20">
        <v>125000</v>
      </c>
      <c r="K20">
        <v>31250</v>
      </c>
      <c r="L20">
        <f t="shared" si="0"/>
        <v>0</v>
      </c>
      <c r="M20" t="s">
        <v>17</v>
      </c>
      <c r="N20" t="s">
        <v>18</v>
      </c>
    </row>
    <row r="21" spans="1:14" x14ac:dyDescent="0.25">
      <c r="A21" t="s">
        <v>14</v>
      </c>
      <c r="B21" s="1">
        <v>46387</v>
      </c>
      <c r="C21" s="1">
        <v>46387</v>
      </c>
      <c r="D21" s="1">
        <v>46477</v>
      </c>
      <c r="E21" t="s">
        <v>43</v>
      </c>
      <c r="F21">
        <v>0</v>
      </c>
      <c r="G21">
        <v>100</v>
      </c>
      <c r="H21" t="s">
        <v>44</v>
      </c>
      <c r="I21">
        <v>37500</v>
      </c>
      <c r="J21">
        <v>37500</v>
      </c>
      <c r="K21">
        <v>1875</v>
      </c>
      <c r="L21">
        <f t="shared" si="0"/>
        <v>0</v>
      </c>
      <c r="M21" t="s">
        <v>17</v>
      </c>
      <c r="N21" t="s">
        <v>18</v>
      </c>
    </row>
    <row r="22" spans="1:14" x14ac:dyDescent="0.25">
      <c r="A22" t="s">
        <v>14</v>
      </c>
      <c r="B22" s="1">
        <v>46387</v>
      </c>
      <c r="C22" s="1">
        <v>46387</v>
      </c>
      <c r="D22" s="1">
        <v>46477</v>
      </c>
      <c r="E22" t="s">
        <v>45</v>
      </c>
      <c r="F22">
        <v>0</v>
      </c>
      <c r="G22">
        <v>100</v>
      </c>
      <c r="H22" t="s">
        <v>44</v>
      </c>
      <c r="I22">
        <v>100000</v>
      </c>
      <c r="J22">
        <v>100000</v>
      </c>
      <c r="K22">
        <v>5000</v>
      </c>
      <c r="L22">
        <f t="shared" si="0"/>
        <v>0</v>
      </c>
      <c r="M22" t="s">
        <v>17</v>
      </c>
      <c r="N22" t="s">
        <v>18</v>
      </c>
    </row>
    <row r="23" spans="1:14" x14ac:dyDescent="0.25">
      <c r="A23" t="s">
        <v>14</v>
      </c>
      <c r="B23" s="1">
        <v>46387</v>
      </c>
      <c r="C23" s="1">
        <v>46387</v>
      </c>
      <c r="D23" s="1">
        <v>46477</v>
      </c>
      <c r="E23" t="s">
        <v>46</v>
      </c>
      <c r="F23">
        <v>50</v>
      </c>
      <c r="G23">
        <v>50</v>
      </c>
      <c r="H23" t="s">
        <v>47</v>
      </c>
      <c r="I23">
        <v>37500</v>
      </c>
      <c r="J23">
        <v>37500</v>
      </c>
      <c r="K23">
        <v>13125</v>
      </c>
      <c r="L23">
        <f t="shared" si="0"/>
        <v>6562.5</v>
      </c>
      <c r="M23" t="s">
        <v>17</v>
      </c>
      <c r="N23" t="s">
        <v>18</v>
      </c>
    </row>
    <row r="24" spans="1:14" x14ac:dyDescent="0.25">
      <c r="A24" t="s">
        <v>14</v>
      </c>
      <c r="B24" s="1">
        <v>46387</v>
      </c>
      <c r="C24" s="1">
        <v>46387</v>
      </c>
      <c r="D24" s="1">
        <v>46477</v>
      </c>
      <c r="E24" t="s">
        <v>48</v>
      </c>
      <c r="F24">
        <v>0</v>
      </c>
      <c r="G24">
        <v>100</v>
      </c>
      <c r="H24" t="s">
        <v>23</v>
      </c>
      <c r="I24">
        <v>172875</v>
      </c>
      <c r="J24">
        <v>172875</v>
      </c>
      <c r="K24">
        <v>129656.25</v>
      </c>
      <c r="L24">
        <f t="shared" si="0"/>
        <v>0</v>
      </c>
      <c r="M24" t="s">
        <v>17</v>
      </c>
      <c r="N24" t="s">
        <v>18</v>
      </c>
    </row>
    <row r="25" spans="1:14" x14ac:dyDescent="0.25">
      <c r="A25" t="s">
        <v>14</v>
      </c>
      <c r="B25" s="1">
        <v>46387</v>
      </c>
      <c r="C25" s="1">
        <v>46387</v>
      </c>
      <c r="D25" s="1">
        <v>46477</v>
      </c>
      <c r="E25" t="s">
        <v>49</v>
      </c>
      <c r="F25">
        <v>0</v>
      </c>
      <c r="G25">
        <v>100</v>
      </c>
      <c r="H25" t="s">
        <v>47</v>
      </c>
      <c r="I25">
        <v>41000</v>
      </c>
      <c r="J25">
        <v>41000</v>
      </c>
      <c r="K25">
        <v>14350</v>
      </c>
      <c r="L25">
        <f t="shared" si="0"/>
        <v>0</v>
      </c>
      <c r="M25" t="s">
        <v>17</v>
      </c>
      <c r="N25" t="s">
        <v>18</v>
      </c>
    </row>
    <row r="26" spans="1:14" x14ac:dyDescent="0.25">
      <c r="A26" t="s">
        <v>14</v>
      </c>
      <c r="B26" s="1">
        <v>46387</v>
      </c>
      <c r="C26" s="1">
        <v>46387</v>
      </c>
      <c r="D26" s="1">
        <v>46477</v>
      </c>
      <c r="E26" t="s">
        <v>50</v>
      </c>
      <c r="H26" t="s">
        <v>47</v>
      </c>
      <c r="I26">
        <v>17750</v>
      </c>
      <c r="J26">
        <v>17750</v>
      </c>
      <c r="K26">
        <v>6212.5</v>
      </c>
      <c r="L26">
        <f t="shared" si="0"/>
        <v>0</v>
      </c>
      <c r="M26" t="s">
        <v>17</v>
      </c>
      <c r="N26" t="s">
        <v>18</v>
      </c>
    </row>
    <row r="27" spans="1:14" x14ac:dyDescent="0.25">
      <c r="A27" t="s">
        <v>14</v>
      </c>
      <c r="B27" s="1">
        <v>46387</v>
      </c>
      <c r="C27" s="1">
        <v>46387</v>
      </c>
      <c r="D27" s="1">
        <v>46477</v>
      </c>
      <c r="E27" t="s">
        <v>51</v>
      </c>
      <c r="F27">
        <v>100</v>
      </c>
      <c r="G27">
        <v>0</v>
      </c>
      <c r="H27" t="s">
        <v>16</v>
      </c>
      <c r="I27">
        <v>18500</v>
      </c>
      <c r="J27">
        <v>18500</v>
      </c>
      <c r="K27">
        <v>9250</v>
      </c>
      <c r="L27">
        <f t="shared" si="0"/>
        <v>9250</v>
      </c>
      <c r="M27" t="s">
        <v>17</v>
      </c>
      <c r="N27" t="s">
        <v>18</v>
      </c>
    </row>
    <row r="28" spans="1:14" x14ac:dyDescent="0.25">
      <c r="A28" t="s">
        <v>14</v>
      </c>
      <c r="B28" s="1">
        <v>46387</v>
      </c>
      <c r="C28" s="1">
        <v>46387</v>
      </c>
      <c r="D28" s="1">
        <v>46477</v>
      </c>
      <c r="E28" t="s">
        <v>52</v>
      </c>
      <c r="F28">
        <v>0</v>
      </c>
      <c r="G28">
        <v>100</v>
      </c>
      <c r="H28" t="s">
        <v>44</v>
      </c>
      <c r="I28">
        <v>31250</v>
      </c>
      <c r="J28">
        <v>31250</v>
      </c>
      <c r="K28">
        <v>1562.5</v>
      </c>
      <c r="L28">
        <f t="shared" si="0"/>
        <v>0</v>
      </c>
      <c r="M28" t="s">
        <v>17</v>
      </c>
      <c r="N28" t="s">
        <v>18</v>
      </c>
    </row>
    <row r="29" spans="1:14" x14ac:dyDescent="0.25">
      <c r="A29" t="s">
        <v>14</v>
      </c>
      <c r="B29" s="1">
        <v>46387</v>
      </c>
      <c r="C29" s="1">
        <v>46387</v>
      </c>
      <c r="D29" s="1">
        <v>46477</v>
      </c>
      <c r="E29" t="s">
        <v>53</v>
      </c>
      <c r="F29">
        <v>0</v>
      </c>
      <c r="G29">
        <v>100</v>
      </c>
      <c r="H29" t="s">
        <v>35</v>
      </c>
      <c r="I29">
        <v>153750</v>
      </c>
      <c r="J29">
        <v>153750</v>
      </c>
      <c r="K29">
        <v>38437.5</v>
      </c>
      <c r="L29">
        <f t="shared" si="0"/>
        <v>0</v>
      </c>
      <c r="M29" t="s">
        <v>17</v>
      </c>
      <c r="N29" t="s">
        <v>18</v>
      </c>
    </row>
    <row r="30" spans="1:14" x14ac:dyDescent="0.25">
      <c r="A30" t="s">
        <v>14</v>
      </c>
      <c r="B30" s="1">
        <v>46387</v>
      </c>
      <c r="C30" s="1">
        <v>46387</v>
      </c>
      <c r="D30" s="1">
        <v>46477</v>
      </c>
      <c r="E30" t="s">
        <v>54</v>
      </c>
      <c r="F30">
        <v>0</v>
      </c>
      <c r="G30">
        <v>100</v>
      </c>
      <c r="H30" t="s">
        <v>44</v>
      </c>
      <c r="I30">
        <v>25000</v>
      </c>
      <c r="J30">
        <v>25000</v>
      </c>
      <c r="K30">
        <v>1250</v>
      </c>
      <c r="L30">
        <f t="shared" si="0"/>
        <v>0</v>
      </c>
      <c r="M30" t="s">
        <v>17</v>
      </c>
      <c r="N30" t="s">
        <v>18</v>
      </c>
    </row>
    <row r="31" spans="1:14" x14ac:dyDescent="0.25">
      <c r="A31" t="s">
        <v>14</v>
      </c>
      <c r="B31" s="1">
        <v>46387</v>
      </c>
      <c r="C31" s="1">
        <v>46387</v>
      </c>
      <c r="D31" s="1">
        <v>46477</v>
      </c>
      <c r="E31" t="s">
        <v>55</v>
      </c>
      <c r="F31">
        <v>50</v>
      </c>
      <c r="G31">
        <v>50</v>
      </c>
      <c r="H31" t="s">
        <v>56</v>
      </c>
      <c r="I31">
        <v>75000</v>
      </c>
      <c r="J31">
        <v>75000</v>
      </c>
      <c r="K31">
        <v>7500</v>
      </c>
      <c r="L31">
        <f t="shared" si="0"/>
        <v>3750</v>
      </c>
      <c r="M31" t="s">
        <v>17</v>
      </c>
      <c r="N31" t="s">
        <v>18</v>
      </c>
    </row>
    <row r="32" spans="1:14" x14ac:dyDescent="0.25">
      <c r="A32" t="s">
        <v>14</v>
      </c>
      <c r="B32" s="1">
        <v>46387</v>
      </c>
      <c r="C32" s="1">
        <v>46387</v>
      </c>
      <c r="D32" s="1">
        <v>46477</v>
      </c>
      <c r="E32" t="s">
        <v>57</v>
      </c>
      <c r="G32">
        <v>100</v>
      </c>
      <c r="H32" t="s">
        <v>44</v>
      </c>
      <c r="I32">
        <v>50000</v>
      </c>
      <c r="J32">
        <v>50000</v>
      </c>
      <c r="K32">
        <v>2500</v>
      </c>
      <c r="L32">
        <f t="shared" si="0"/>
        <v>0</v>
      </c>
      <c r="M32" t="s">
        <v>17</v>
      </c>
      <c r="N32" t="s">
        <v>18</v>
      </c>
    </row>
    <row r="33" spans="1:14" x14ac:dyDescent="0.25">
      <c r="A33" t="s">
        <v>14</v>
      </c>
      <c r="B33" s="1">
        <v>46387</v>
      </c>
      <c r="C33" s="1">
        <v>46387</v>
      </c>
      <c r="D33" s="1">
        <v>46477</v>
      </c>
      <c r="E33" t="s">
        <v>58</v>
      </c>
      <c r="F33">
        <v>0</v>
      </c>
      <c r="G33">
        <v>100</v>
      </c>
      <c r="H33" t="s">
        <v>47</v>
      </c>
      <c r="I33">
        <v>153750</v>
      </c>
      <c r="J33">
        <v>153750</v>
      </c>
      <c r="K33">
        <v>53812.5</v>
      </c>
      <c r="L33">
        <f t="shared" si="0"/>
        <v>0</v>
      </c>
      <c r="M33" t="s">
        <v>17</v>
      </c>
      <c r="N33" t="s">
        <v>18</v>
      </c>
    </row>
    <row r="34" spans="1:14" x14ac:dyDescent="0.25">
      <c r="A34" t="s">
        <v>14</v>
      </c>
      <c r="B34" s="1">
        <v>46387</v>
      </c>
      <c r="C34" s="1">
        <v>46387</v>
      </c>
      <c r="D34" s="1">
        <v>46477</v>
      </c>
      <c r="E34" t="s">
        <v>59</v>
      </c>
      <c r="F34">
        <v>0</v>
      </c>
      <c r="G34">
        <v>30</v>
      </c>
      <c r="H34" t="s">
        <v>16</v>
      </c>
      <c r="I34">
        <v>211125</v>
      </c>
      <c r="J34">
        <v>211125</v>
      </c>
      <c r="K34">
        <v>105562.5</v>
      </c>
      <c r="L34">
        <f t="shared" si="0"/>
        <v>0</v>
      </c>
      <c r="M34" t="s">
        <v>17</v>
      </c>
      <c r="N34" t="s">
        <v>18</v>
      </c>
    </row>
    <row r="35" spans="1:14" x14ac:dyDescent="0.25">
      <c r="A35" t="s">
        <v>14</v>
      </c>
      <c r="B35" s="1">
        <v>46387</v>
      </c>
      <c r="C35" s="1">
        <v>46387</v>
      </c>
      <c r="D35" s="1">
        <v>46477</v>
      </c>
      <c r="E35" t="s">
        <v>60</v>
      </c>
      <c r="F35">
        <v>0</v>
      </c>
      <c r="G35">
        <v>100</v>
      </c>
      <c r="H35" t="s">
        <v>47</v>
      </c>
      <c r="I35">
        <v>125000</v>
      </c>
      <c r="J35">
        <v>125000</v>
      </c>
      <c r="K35">
        <v>43750</v>
      </c>
      <c r="L35">
        <f t="shared" si="0"/>
        <v>0</v>
      </c>
      <c r="M35" t="s">
        <v>17</v>
      </c>
      <c r="N35" t="s">
        <v>18</v>
      </c>
    </row>
    <row r="36" spans="1:14" x14ac:dyDescent="0.25">
      <c r="A36" t="s">
        <v>14</v>
      </c>
      <c r="B36" s="1">
        <v>46387</v>
      </c>
      <c r="C36" s="1">
        <v>46387</v>
      </c>
      <c r="D36" s="1">
        <v>46477</v>
      </c>
      <c r="E36" t="s">
        <v>61</v>
      </c>
      <c r="F36">
        <v>0</v>
      </c>
      <c r="G36">
        <v>100</v>
      </c>
      <c r="H36" t="s">
        <v>16</v>
      </c>
      <c r="I36">
        <v>27500</v>
      </c>
      <c r="J36">
        <v>27500</v>
      </c>
      <c r="K36">
        <v>13750</v>
      </c>
      <c r="L36">
        <f t="shared" si="0"/>
        <v>0</v>
      </c>
      <c r="M36" t="s">
        <v>17</v>
      </c>
      <c r="N36" t="s">
        <v>18</v>
      </c>
    </row>
    <row r="37" spans="1:14" x14ac:dyDescent="0.25">
      <c r="A37" t="s">
        <v>14</v>
      </c>
      <c r="B37" s="1">
        <v>46387</v>
      </c>
      <c r="C37" s="1">
        <v>46387</v>
      </c>
      <c r="D37" s="1">
        <v>46477</v>
      </c>
      <c r="E37" t="s">
        <v>62</v>
      </c>
      <c r="H37" t="s">
        <v>47</v>
      </c>
      <c r="I37">
        <v>33500</v>
      </c>
      <c r="J37">
        <v>33500</v>
      </c>
      <c r="K37">
        <v>11725</v>
      </c>
      <c r="L37">
        <f t="shared" si="0"/>
        <v>0</v>
      </c>
      <c r="M37" t="s">
        <v>17</v>
      </c>
      <c r="N37" t="s">
        <v>18</v>
      </c>
    </row>
    <row r="38" spans="1:14" x14ac:dyDescent="0.25">
      <c r="A38" t="s">
        <v>14</v>
      </c>
      <c r="B38" s="1">
        <v>46386</v>
      </c>
      <c r="C38" s="1">
        <v>46386</v>
      </c>
      <c r="D38" s="1">
        <v>46476</v>
      </c>
      <c r="E38" t="s">
        <v>63</v>
      </c>
      <c r="F38">
        <v>0</v>
      </c>
      <c r="G38">
        <v>100</v>
      </c>
      <c r="H38" t="s">
        <v>47</v>
      </c>
      <c r="I38">
        <v>41343.75</v>
      </c>
      <c r="J38">
        <v>41343.75</v>
      </c>
      <c r="K38">
        <v>14470.3125</v>
      </c>
      <c r="L38">
        <f t="shared" si="0"/>
        <v>0</v>
      </c>
      <c r="M38" t="s">
        <v>17</v>
      </c>
      <c r="N38" t="s">
        <v>18</v>
      </c>
    </row>
    <row r="39" spans="1:14" x14ac:dyDescent="0.25">
      <c r="A39" t="s">
        <v>14</v>
      </c>
      <c r="B39" s="1">
        <v>46373</v>
      </c>
      <c r="C39" s="1">
        <v>46373</v>
      </c>
      <c r="D39" s="1">
        <v>46463</v>
      </c>
      <c r="E39" t="s">
        <v>64</v>
      </c>
      <c r="H39" t="s">
        <v>23</v>
      </c>
      <c r="I39">
        <v>312500</v>
      </c>
      <c r="J39">
        <v>312500</v>
      </c>
      <c r="K39">
        <v>234375</v>
      </c>
      <c r="L39">
        <f t="shared" si="0"/>
        <v>0</v>
      </c>
      <c r="M39" t="s">
        <v>17</v>
      </c>
      <c r="N39" t="s">
        <v>27</v>
      </c>
    </row>
    <row r="40" spans="1:14" x14ac:dyDescent="0.25">
      <c r="A40" t="s">
        <v>14</v>
      </c>
      <c r="B40" s="1">
        <v>46356</v>
      </c>
      <c r="C40" s="1">
        <v>46356</v>
      </c>
      <c r="D40" s="1">
        <v>46446</v>
      </c>
      <c r="E40" t="s">
        <v>65</v>
      </c>
      <c r="H40" t="s">
        <v>29</v>
      </c>
      <c r="I40">
        <v>62500</v>
      </c>
      <c r="J40">
        <v>62500</v>
      </c>
      <c r="K40">
        <v>18750</v>
      </c>
      <c r="L40">
        <f t="shared" si="0"/>
        <v>0</v>
      </c>
      <c r="M40" t="s">
        <v>17</v>
      </c>
      <c r="N40" t="s">
        <v>18</v>
      </c>
    </row>
    <row r="41" spans="1:14" x14ac:dyDescent="0.25">
      <c r="A41" t="s">
        <v>14</v>
      </c>
      <c r="B41" s="1">
        <v>46356</v>
      </c>
      <c r="C41" s="1">
        <v>46356</v>
      </c>
      <c r="D41" s="1">
        <v>46446</v>
      </c>
      <c r="E41" t="s">
        <v>66</v>
      </c>
      <c r="G41">
        <v>100</v>
      </c>
      <c r="H41" t="s">
        <v>23</v>
      </c>
      <c r="I41">
        <v>100000</v>
      </c>
      <c r="J41">
        <v>100000</v>
      </c>
      <c r="K41">
        <v>75000</v>
      </c>
      <c r="L41">
        <f t="shared" si="0"/>
        <v>0</v>
      </c>
      <c r="M41" t="s">
        <v>17</v>
      </c>
      <c r="N41" t="s">
        <v>18</v>
      </c>
    </row>
    <row r="42" spans="1:14" x14ac:dyDescent="0.25">
      <c r="A42" t="s">
        <v>14</v>
      </c>
      <c r="B42" s="1">
        <v>46356</v>
      </c>
      <c r="C42" s="1">
        <v>46356</v>
      </c>
      <c r="D42" s="1">
        <v>46446</v>
      </c>
      <c r="E42" t="s">
        <v>67</v>
      </c>
      <c r="F42">
        <v>0</v>
      </c>
      <c r="G42">
        <v>100</v>
      </c>
      <c r="H42" t="s">
        <v>47</v>
      </c>
      <c r="I42">
        <v>61250</v>
      </c>
      <c r="J42">
        <v>61250</v>
      </c>
      <c r="K42">
        <v>21437.5</v>
      </c>
      <c r="L42">
        <f t="shared" si="0"/>
        <v>0</v>
      </c>
      <c r="M42" t="s">
        <v>17</v>
      </c>
      <c r="N42" t="s">
        <v>18</v>
      </c>
    </row>
    <row r="43" spans="1:14" x14ac:dyDescent="0.25">
      <c r="A43" t="s">
        <v>14</v>
      </c>
      <c r="B43" s="1">
        <v>46356</v>
      </c>
      <c r="C43" s="1">
        <v>46356</v>
      </c>
      <c r="D43" s="1">
        <v>46446</v>
      </c>
      <c r="E43" t="s">
        <v>68</v>
      </c>
      <c r="F43">
        <v>0</v>
      </c>
      <c r="G43">
        <v>100</v>
      </c>
      <c r="H43" t="s">
        <v>44</v>
      </c>
      <c r="I43">
        <v>50000</v>
      </c>
      <c r="J43">
        <v>50000</v>
      </c>
      <c r="K43">
        <v>2500</v>
      </c>
      <c r="L43">
        <f t="shared" si="0"/>
        <v>0</v>
      </c>
      <c r="M43" t="s">
        <v>17</v>
      </c>
      <c r="N43" t="s">
        <v>18</v>
      </c>
    </row>
    <row r="44" spans="1:14" x14ac:dyDescent="0.25">
      <c r="A44" t="s">
        <v>14</v>
      </c>
      <c r="B44" s="1">
        <v>46356</v>
      </c>
      <c r="C44" s="1">
        <v>46356</v>
      </c>
      <c r="D44" s="1">
        <v>46446</v>
      </c>
      <c r="E44" t="s">
        <v>69</v>
      </c>
      <c r="F44">
        <v>0</v>
      </c>
      <c r="G44">
        <v>100</v>
      </c>
      <c r="H44" t="s">
        <v>16</v>
      </c>
      <c r="I44">
        <v>50625</v>
      </c>
      <c r="J44">
        <v>50625</v>
      </c>
      <c r="K44">
        <v>25312.5</v>
      </c>
      <c r="L44">
        <f t="shared" si="0"/>
        <v>0</v>
      </c>
      <c r="M44" t="s">
        <v>17</v>
      </c>
      <c r="N44" t="s">
        <v>18</v>
      </c>
    </row>
    <row r="45" spans="1:14" x14ac:dyDescent="0.25">
      <c r="A45" t="s">
        <v>14</v>
      </c>
      <c r="B45" s="1">
        <v>46356</v>
      </c>
      <c r="C45" s="1">
        <v>46356</v>
      </c>
      <c r="D45" s="1">
        <v>46446</v>
      </c>
      <c r="E45" t="s">
        <v>70</v>
      </c>
      <c r="F45">
        <v>0</v>
      </c>
      <c r="G45">
        <v>100</v>
      </c>
      <c r="H45" t="s">
        <v>44</v>
      </c>
      <c r="I45">
        <v>25000</v>
      </c>
      <c r="J45">
        <v>25000</v>
      </c>
      <c r="K45">
        <v>1250</v>
      </c>
      <c r="L45">
        <f t="shared" si="0"/>
        <v>0</v>
      </c>
      <c r="M45" t="s">
        <v>17</v>
      </c>
      <c r="N45" t="s">
        <v>18</v>
      </c>
    </row>
    <row r="46" spans="1:14" x14ac:dyDescent="0.25">
      <c r="A46" t="s">
        <v>14</v>
      </c>
      <c r="B46" s="1">
        <v>46356</v>
      </c>
      <c r="C46" s="1">
        <v>46356</v>
      </c>
      <c r="D46" s="1">
        <v>46446</v>
      </c>
      <c r="E46" t="s">
        <v>71</v>
      </c>
      <c r="F46">
        <v>0</v>
      </c>
      <c r="G46">
        <v>100</v>
      </c>
      <c r="H46" t="s">
        <v>23</v>
      </c>
      <c r="I46">
        <v>177500</v>
      </c>
      <c r="J46">
        <v>177500</v>
      </c>
      <c r="K46">
        <v>133125</v>
      </c>
      <c r="L46">
        <f t="shared" si="0"/>
        <v>0</v>
      </c>
      <c r="M46" t="s">
        <v>17</v>
      </c>
      <c r="N46" t="s">
        <v>18</v>
      </c>
    </row>
    <row r="47" spans="1:14" x14ac:dyDescent="0.25">
      <c r="A47" t="s">
        <v>14</v>
      </c>
      <c r="B47" s="1">
        <v>46356</v>
      </c>
      <c r="C47" s="1">
        <v>46356</v>
      </c>
      <c r="D47" s="1">
        <v>46446</v>
      </c>
      <c r="E47" t="s">
        <v>72</v>
      </c>
      <c r="F47">
        <v>0</v>
      </c>
      <c r="G47">
        <v>100</v>
      </c>
      <c r="H47" t="s">
        <v>16</v>
      </c>
      <c r="I47">
        <v>84375</v>
      </c>
      <c r="J47">
        <v>84375</v>
      </c>
      <c r="K47">
        <v>42187.5</v>
      </c>
      <c r="L47">
        <f t="shared" si="0"/>
        <v>0</v>
      </c>
      <c r="M47" t="s">
        <v>17</v>
      </c>
      <c r="N47" t="s">
        <v>18</v>
      </c>
    </row>
    <row r="48" spans="1:14" x14ac:dyDescent="0.25">
      <c r="A48" t="s">
        <v>14</v>
      </c>
      <c r="B48" s="1">
        <v>46356</v>
      </c>
      <c r="C48" s="1">
        <v>46356</v>
      </c>
      <c r="D48" s="1">
        <v>46446</v>
      </c>
      <c r="E48" t="s">
        <v>73</v>
      </c>
      <c r="F48">
        <v>10</v>
      </c>
      <c r="G48">
        <v>90</v>
      </c>
      <c r="H48" t="s">
        <v>16</v>
      </c>
      <c r="I48">
        <v>111875</v>
      </c>
      <c r="J48">
        <v>111875</v>
      </c>
      <c r="K48">
        <v>55937.5</v>
      </c>
      <c r="L48">
        <f t="shared" si="0"/>
        <v>5593.75</v>
      </c>
      <c r="M48" t="s">
        <v>17</v>
      </c>
      <c r="N48" t="s">
        <v>18</v>
      </c>
    </row>
    <row r="49" spans="1:14" x14ac:dyDescent="0.25">
      <c r="A49" t="s">
        <v>14</v>
      </c>
      <c r="B49" s="1">
        <v>46346</v>
      </c>
      <c r="C49" s="1">
        <v>46346</v>
      </c>
      <c r="D49" s="1">
        <v>46436</v>
      </c>
      <c r="E49" t="s">
        <v>74</v>
      </c>
      <c r="F49">
        <v>0</v>
      </c>
      <c r="G49">
        <v>100</v>
      </c>
      <c r="H49" t="s">
        <v>47</v>
      </c>
      <c r="I49">
        <v>42500</v>
      </c>
      <c r="J49">
        <v>42500</v>
      </c>
      <c r="K49">
        <v>14875</v>
      </c>
      <c r="L49">
        <f t="shared" si="0"/>
        <v>0</v>
      </c>
      <c r="M49" t="s">
        <v>17</v>
      </c>
      <c r="N49" t="s">
        <v>33</v>
      </c>
    </row>
    <row r="50" spans="1:14" x14ac:dyDescent="0.25">
      <c r="A50" t="s">
        <v>14</v>
      </c>
      <c r="B50" s="1">
        <v>46332</v>
      </c>
      <c r="C50" s="1">
        <v>46332</v>
      </c>
      <c r="D50" s="1">
        <v>46422</v>
      </c>
      <c r="E50" t="s">
        <v>75</v>
      </c>
      <c r="F50">
        <v>25</v>
      </c>
      <c r="G50">
        <v>75</v>
      </c>
      <c r="H50" t="s">
        <v>29</v>
      </c>
      <c r="I50">
        <v>61500</v>
      </c>
      <c r="J50">
        <v>61500</v>
      </c>
      <c r="K50">
        <v>18450</v>
      </c>
      <c r="L50">
        <f t="shared" si="0"/>
        <v>4612.5</v>
      </c>
      <c r="M50" t="s">
        <v>17</v>
      </c>
      <c r="N50" t="s">
        <v>18</v>
      </c>
    </row>
    <row r="51" spans="1:14" x14ac:dyDescent="0.25">
      <c r="A51" t="s">
        <v>14</v>
      </c>
      <c r="B51" s="1">
        <v>46326</v>
      </c>
      <c r="C51" s="1">
        <v>46326</v>
      </c>
      <c r="D51" s="1">
        <v>46416</v>
      </c>
      <c r="E51" t="s">
        <v>76</v>
      </c>
      <c r="G51">
        <v>100</v>
      </c>
      <c r="H51" t="s">
        <v>23</v>
      </c>
      <c r="I51">
        <v>178375</v>
      </c>
      <c r="J51">
        <v>178375</v>
      </c>
      <c r="K51">
        <v>133781.25</v>
      </c>
      <c r="L51">
        <f t="shared" si="0"/>
        <v>0</v>
      </c>
      <c r="M51" t="s">
        <v>17</v>
      </c>
      <c r="N51" t="s">
        <v>18</v>
      </c>
    </row>
    <row r="52" spans="1:14" x14ac:dyDescent="0.25">
      <c r="A52" t="s">
        <v>14</v>
      </c>
      <c r="B52" s="1">
        <v>46326</v>
      </c>
      <c r="C52" s="1">
        <v>46326</v>
      </c>
      <c r="D52" s="1">
        <v>46416</v>
      </c>
      <c r="E52" t="s">
        <v>77</v>
      </c>
      <c r="F52">
        <v>100</v>
      </c>
      <c r="G52">
        <v>0</v>
      </c>
      <c r="H52" t="s">
        <v>16</v>
      </c>
      <c r="I52">
        <v>22500</v>
      </c>
      <c r="J52">
        <v>22500</v>
      </c>
      <c r="K52">
        <v>11250</v>
      </c>
      <c r="L52">
        <f t="shared" si="0"/>
        <v>11250</v>
      </c>
      <c r="M52" t="s">
        <v>17</v>
      </c>
      <c r="N52" t="s">
        <v>18</v>
      </c>
    </row>
    <row r="53" spans="1:14" x14ac:dyDescent="0.25">
      <c r="A53" t="s">
        <v>14</v>
      </c>
      <c r="B53" s="1">
        <v>46326</v>
      </c>
      <c r="C53" s="1">
        <v>46326</v>
      </c>
      <c r="D53" s="1">
        <v>46416</v>
      </c>
      <c r="E53" t="s">
        <v>78</v>
      </c>
      <c r="F53">
        <v>0</v>
      </c>
      <c r="G53">
        <v>100</v>
      </c>
      <c r="H53" t="s">
        <v>47</v>
      </c>
      <c r="I53">
        <v>18731.25</v>
      </c>
      <c r="J53">
        <v>18731.25</v>
      </c>
      <c r="K53">
        <v>6555.9375</v>
      </c>
      <c r="L53">
        <f t="shared" si="0"/>
        <v>0</v>
      </c>
      <c r="M53" t="s">
        <v>17</v>
      </c>
      <c r="N53" t="s">
        <v>18</v>
      </c>
    </row>
    <row r="54" spans="1:14" x14ac:dyDescent="0.25">
      <c r="A54" t="s">
        <v>14</v>
      </c>
      <c r="B54" s="1">
        <v>46326</v>
      </c>
      <c r="C54" s="1">
        <v>46326</v>
      </c>
      <c r="D54" s="1">
        <v>46416</v>
      </c>
      <c r="E54" t="s">
        <v>79</v>
      </c>
      <c r="F54">
        <v>20</v>
      </c>
      <c r="G54">
        <v>80</v>
      </c>
      <c r="H54" t="s">
        <v>44</v>
      </c>
      <c r="I54">
        <v>62500</v>
      </c>
      <c r="J54">
        <v>62500</v>
      </c>
      <c r="K54">
        <v>3125</v>
      </c>
      <c r="L54">
        <f t="shared" si="0"/>
        <v>625</v>
      </c>
      <c r="M54" t="s">
        <v>17</v>
      </c>
      <c r="N54" t="s">
        <v>18</v>
      </c>
    </row>
    <row r="55" spans="1:14" x14ac:dyDescent="0.25">
      <c r="A55" t="s">
        <v>14</v>
      </c>
      <c r="B55" s="1">
        <v>46326</v>
      </c>
      <c r="C55" s="1">
        <v>46326</v>
      </c>
      <c r="D55" s="1">
        <v>46416</v>
      </c>
      <c r="E55" t="s">
        <v>80</v>
      </c>
      <c r="F55">
        <v>0</v>
      </c>
      <c r="G55">
        <v>100</v>
      </c>
      <c r="H55" t="s">
        <v>16</v>
      </c>
      <c r="I55">
        <v>42856.25</v>
      </c>
      <c r="J55">
        <v>42856.25</v>
      </c>
      <c r="K55">
        <v>21428.125</v>
      </c>
      <c r="L55">
        <f t="shared" si="0"/>
        <v>0</v>
      </c>
      <c r="M55" t="s">
        <v>17</v>
      </c>
      <c r="N55" t="s">
        <v>18</v>
      </c>
    </row>
    <row r="56" spans="1:14" x14ac:dyDescent="0.25">
      <c r="A56" t="s">
        <v>14</v>
      </c>
      <c r="B56" s="1">
        <v>46326</v>
      </c>
      <c r="C56" s="1">
        <v>46326</v>
      </c>
      <c r="D56" s="1">
        <v>46416</v>
      </c>
      <c r="E56" t="s">
        <v>81</v>
      </c>
      <c r="G56">
        <v>100</v>
      </c>
      <c r="H56" t="s">
        <v>47</v>
      </c>
      <c r="I56">
        <v>106875</v>
      </c>
      <c r="J56">
        <v>106875</v>
      </c>
      <c r="K56">
        <v>37406.25</v>
      </c>
      <c r="L56">
        <f t="shared" si="0"/>
        <v>0</v>
      </c>
      <c r="M56" t="s">
        <v>17</v>
      </c>
      <c r="N56" t="s">
        <v>18</v>
      </c>
    </row>
    <row r="57" spans="1:14" x14ac:dyDescent="0.25">
      <c r="A57" t="s">
        <v>14</v>
      </c>
      <c r="B57" s="1">
        <v>46326</v>
      </c>
      <c r="C57" s="1">
        <v>46326</v>
      </c>
      <c r="D57" s="1">
        <v>46416</v>
      </c>
      <c r="E57" t="s">
        <v>82</v>
      </c>
      <c r="F57">
        <v>10</v>
      </c>
      <c r="G57">
        <v>90</v>
      </c>
      <c r="H57" t="s">
        <v>47</v>
      </c>
      <c r="I57">
        <v>100000</v>
      </c>
      <c r="J57">
        <v>100000</v>
      </c>
      <c r="K57">
        <v>35000</v>
      </c>
      <c r="L57">
        <f t="shared" si="0"/>
        <v>3500</v>
      </c>
      <c r="M57" t="s">
        <v>17</v>
      </c>
      <c r="N57" t="s">
        <v>18</v>
      </c>
    </row>
    <row r="58" spans="1:14" x14ac:dyDescent="0.25">
      <c r="A58" t="s">
        <v>14</v>
      </c>
      <c r="B58" s="1">
        <v>46326</v>
      </c>
      <c r="C58" s="1">
        <v>46326</v>
      </c>
      <c r="D58" s="1">
        <v>46416</v>
      </c>
      <c r="E58" t="s">
        <v>83</v>
      </c>
      <c r="F58">
        <v>20</v>
      </c>
      <c r="G58">
        <v>80</v>
      </c>
      <c r="H58" t="s">
        <v>44</v>
      </c>
      <c r="I58">
        <v>101312.5</v>
      </c>
      <c r="J58">
        <v>101312.5</v>
      </c>
      <c r="K58">
        <v>5065.625</v>
      </c>
      <c r="L58">
        <f t="shared" si="0"/>
        <v>1013.125</v>
      </c>
      <c r="M58" t="s">
        <v>17</v>
      </c>
      <c r="N58" t="s">
        <v>18</v>
      </c>
    </row>
    <row r="59" spans="1:14" x14ac:dyDescent="0.25">
      <c r="A59" t="s">
        <v>14</v>
      </c>
      <c r="B59" s="1">
        <v>46326</v>
      </c>
      <c r="C59" s="1">
        <v>46326</v>
      </c>
      <c r="D59" s="1">
        <v>46416</v>
      </c>
      <c r="E59" t="s">
        <v>84</v>
      </c>
      <c r="F59">
        <v>0</v>
      </c>
      <c r="G59">
        <v>100</v>
      </c>
      <c r="H59" t="s">
        <v>56</v>
      </c>
      <c r="I59">
        <v>16250</v>
      </c>
      <c r="J59">
        <v>16250</v>
      </c>
      <c r="K59">
        <v>1625</v>
      </c>
      <c r="L59">
        <f t="shared" si="0"/>
        <v>0</v>
      </c>
      <c r="M59" t="s">
        <v>17</v>
      </c>
      <c r="N59" t="s">
        <v>18</v>
      </c>
    </row>
    <row r="60" spans="1:14" x14ac:dyDescent="0.25">
      <c r="A60" t="s">
        <v>14</v>
      </c>
      <c r="B60" s="1">
        <v>46325</v>
      </c>
      <c r="C60" s="1">
        <v>46325</v>
      </c>
      <c r="D60" s="1">
        <v>46415</v>
      </c>
      <c r="E60" t="s">
        <v>85</v>
      </c>
      <c r="F60">
        <v>100</v>
      </c>
      <c r="H60" t="s">
        <v>86</v>
      </c>
      <c r="I60">
        <v>10625</v>
      </c>
      <c r="J60">
        <v>10625</v>
      </c>
      <c r="K60">
        <v>6375</v>
      </c>
      <c r="L60">
        <f t="shared" si="0"/>
        <v>6375</v>
      </c>
      <c r="M60" t="s">
        <v>17</v>
      </c>
      <c r="N60" t="s">
        <v>18</v>
      </c>
    </row>
    <row r="61" spans="1:14" x14ac:dyDescent="0.25">
      <c r="A61" t="s">
        <v>14</v>
      </c>
      <c r="B61" s="1">
        <v>46325</v>
      </c>
      <c r="C61" s="1">
        <v>46325</v>
      </c>
      <c r="D61" s="1">
        <v>46415</v>
      </c>
      <c r="E61" t="s">
        <v>87</v>
      </c>
      <c r="H61" t="s">
        <v>47</v>
      </c>
      <c r="I61">
        <v>74500</v>
      </c>
      <c r="J61">
        <v>74500</v>
      </c>
      <c r="K61">
        <v>26075</v>
      </c>
      <c r="L61">
        <f t="shared" si="0"/>
        <v>0</v>
      </c>
      <c r="M61" t="s">
        <v>17</v>
      </c>
      <c r="N61" t="s">
        <v>18</v>
      </c>
    </row>
    <row r="62" spans="1:14" x14ac:dyDescent="0.25">
      <c r="A62" t="s">
        <v>14</v>
      </c>
      <c r="B62" s="1">
        <v>46325</v>
      </c>
      <c r="C62" s="1">
        <v>46325</v>
      </c>
      <c r="D62" s="1">
        <v>46415</v>
      </c>
      <c r="E62" t="s">
        <v>88</v>
      </c>
      <c r="F62">
        <v>100</v>
      </c>
      <c r="H62" t="s">
        <v>47</v>
      </c>
      <c r="I62">
        <v>31250</v>
      </c>
      <c r="J62">
        <v>31250</v>
      </c>
      <c r="K62">
        <v>10937.5</v>
      </c>
      <c r="L62">
        <f t="shared" si="0"/>
        <v>10937.5</v>
      </c>
      <c r="M62" t="s">
        <v>17</v>
      </c>
      <c r="N62" t="s">
        <v>33</v>
      </c>
    </row>
    <row r="63" spans="1:14" x14ac:dyDescent="0.25">
      <c r="A63" t="s">
        <v>14</v>
      </c>
      <c r="B63" s="1">
        <v>46325</v>
      </c>
      <c r="C63" s="1">
        <v>46325</v>
      </c>
      <c r="D63" s="1">
        <v>46415</v>
      </c>
      <c r="E63" t="s">
        <v>89</v>
      </c>
      <c r="F63">
        <v>50</v>
      </c>
      <c r="G63">
        <v>50</v>
      </c>
      <c r="H63" t="s">
        <v>16</v>
      </c>
      <c r="I63">
        <v>42375</v>
      </c>
      <c r="J63">
        <v>42375</v>
      </c>
      <c r="K63">
        <v>21187.5</v>
      </c>
      <c r="L63">
        <f t="shared" si="0"/>
        <v>10593.75</v>
      </c>
      <c r="M63" t="s">
        <v>17</v>
      </c>
      <c r="N63" t="s">
        <v>33</v>
      </c>
    </row>
    <row r="64" spans="1:14" x14ac:dyDescent="0.25">
      <c r="A64" t="s">
        <v>14</v>
      </c>
      <c r="B64" s="1">
        <v>46325</v>
      </c>
      <c r="C64" s="1">
        <v>46325</v>
      </c>
      <c r="D64" s="1">
        <v>46415</v>
      </c>
      <c r="E64" t="s">
        <v>90</v>
      </c>
      <c r="F64">
        <v>50</v>
      </c>
      <c r="G64">
        <v>50</v>
      </c>
      <c r="H64" t="s">
        <v>16</v>
      </c>
      <c r="I64">
        <v>32500</v>
      </c>
      <c r="J64">
        <v>32500</v>
      </c>
      <c r="K64">
        <v>16250</v>
      </c>
      <c r="L64">
        <f t="shared" si="0"/>
        <v>8125</v>
      </c>
      <c r="M64" t="s">
        <v>17</v>
      </c>
      <c r="N64" t="s">
        <v>18</v>
      </c>
    </row>
    <row r="65" spans="1:14" x14ac:dyDescent="0.25">
      <c r="A65" t="s">
        <v>14</v>
      </c>
      <c r="B65" s="1">
        <v>46325</v>
      </c>
      <c r="C65" s="1">
        <v>46325</v>
      </c>
      <c r="D65" s="1">
        <v>46415</v>
      </c>
      <c r="E65" t="s">
        <v>91</v>
      </c>
      <c r="F65">
        <v>25</v>
      </c>
      <c r="G65">
        <v>75</v>
      </c>
      <c r="H65" t="s">
        <v>16</v>
      </c>
      <c r="I65">
        <v>45000</v>
      </c>
      <c r="J65">
        <v>45000</v>
      </c>
      <c r="K65">
        <v>22500</v>
      </c>
      <c r="L65">
        <f t="shared" si="0"/>
        <v>5625</v>
      </c>
      <c r="M65" t="s">
        <v>17</v>
      </c>
      <c r="N65" t="s">
        <v>18</v>
      </c>
    </row>
    <row r="66" spans="1:14" x14ac:dyDescent="0.25">
      <c r="A66" t="s">
        <v>14</v>
      </c>
      <c r="B66" s="1">
        <v>46325</v>
      </c>
      <c r="C66" s="1">
        <v>46325</v>
      </c>
      <c r="D66" s="1">
        <v>46415</v>
      </c>
      <c r="E66" t="s">
        <v>92</v>
      </c>
      <c r="F66">
        <v>0</v>
      </c>
      <c r="G66">
        <v>100</v>
      </c>
      <c r="H66" t="s">
        <v>26</v>
      </c>
      <c r="I66">
        <v>29400</v>
      </c>
      <c r="J66">
        <v>29400</v>
      </c>
      <c r="K66">
        <v>26460</v>
      </c>
      <c r="L66">
        <f t="shared" si="0"/>
        <v>0</v>
      </c>
      <c r="M66" t="s">
        <v>17</v>
      </c>
      <c r="N66" t="s">
        <v>33</v>
      </c>
    </row>
    <row r="67" spans="1:14" x14ac:dyDescent="0.25">
      <c r="A67" t="s">
        <v>14</v>
      </c>
      <c r="B67" s="1">
        <v>46325</v>
      </c>
      <c r="C67" s="1">
        <v>46325</v>
      </c>
      <c r="D67" s="1">
        <v>46415</v>
      </c>
      <c r="E67" t="s">
        <v>93</v>
      </c>
      <c r="F67">
        <v>10</v>
      </c>
      <c r="G67">
        <v>90</v>
      </c>
      <c r="H67" t="s">
        <v>16</v>
      </c>
      <c r="I67">
        <v>140625</v>
      </c>
      <c r="J67">
        <v>140625</v>
      </c>
      <c r="K67">
        <v>70312.5</v>
      </c>
      <c r="L67">
        <f t="shared" ref="L67:L127" si="1">K67*F67/100</f>
        <v>7031.25</v>
      </c>
      <c r="M67" t="s">
        <v>17</v>
      </c>
      <c r="N67" t="s">
        <v>18</v>
      </c>
    </row>
    <row r="68" spans="1:14" x14ac:dyDescent="0.25">
      <c r="A68" t="s">
        <v>14</v>
      </c>
      <c r="B68" s="1">
        <v>46310</v>
      </c>
      <c r="C68" s="1">
        <v>46310</v>
      </c>
      <c r="D68" s="1">
        <v>46400</v>
      </c>
      <c r="E68" t="s">
        <v>94</v>
      </c>
      <c r="F68">
        <v>100</v>
      </c>
      <c r="H68" t="s">
        <v>16</v>
      </c>
      <c r="I68">
        <v>83125</v>
      </c>
      <c r="J68">
        <v>83125</v>
      </c>
      <c r="K68">
        <v>41562.5</v>
      </c>
      <c r="L68">
        <f t="shared" si="1"/>
        <v>41562.5</v>
      </c>
      <c r="M68" t="s">
        <v>17</v>
      </c>
      <c r="N68" t="s">
        <v>18</v>
      </c>
    </row>
    <row r="69" spans="1:14" x14ac:dyDescent="0.25">
      <c r="A69" t="s">
        <v>14</v>
      </c>
      <c r="B69" s="1">
        <v>46304</v>
      </c>
      <c r="C69" s="1">
        <v>46304</v>
      </c>
      <c r="D69" s="1">
        <v>46394</v>
      </c>
      <c r="E69" t="s">
        <v>95</v>
      </c>
      <c r="F69">
        <v>50</v>
      </c>
      <c r="G69">
        <v>50</v>
      </c>
      <c r="H69" t="s">
        <v>56</v>
      </c>
      <c r="I69">
        <v>37250</v>
      </c>
      <c r="J69">
        <v>37250</v>
      </c>
      <c r="K69">
        <v>3725</v>
      </c>
      <c r="L69">
        <f t="shared" si="1"/>
        <v>1862.5</v>
      </c>
      <c r="M69" t="s">
        <v>17</v>
      </c>
      <c r="N69" t="s">
        <v>18</v>
      </c>
    </row>
    <row r="70" spans="1:14" x14ac:dyDescent="0.25">
      <c r="A70" t="s">
        <v>14</v>
      </c>
      <c r="B70" s="1">
        <v>46297</v>
      </c>
      <c r="C70" s="1">
        <v>46297</v>
      </c>
      <c r="D70" s="1">
        <v>46387</v>
      </c>
      <c r="E70" t="s">
        <v>96</v>
      </c>
      <c r="F70">
        <v>0</v>
      </c>
      <c r="G70">
        <v>100</v>
      </c>
      <c r="H70" t="s">
        <v>16</v>
      </c>
      <c r="I70">
        <v>211750</v>
      </c>
      <c r="J70">
        <v>211750</v>
      </c>
      <c r="K70">
        <v>105875</v>
      </c>
      <c r="L70">
        <f t="shared" si="1"/>
        <v>0</v>
      </c>
      <c r="M70" t="s">
        <v>17</v>
      </c>
      <c r="N70" t="s">
        <v>18</v>
      </c>
    </row>
    <row r="71" spans="1:14" x14ac:dyDescent="0.25">
      <c r="A71" t="s">
        <v>14</v>
      </c>
      <c r="B71" s="1">
        <v>46295</v>
      </c>
      <c r="C71" s="1">
        <v>46295</v>
      </c>
      <c r="D71" s="1">
        <v>46385</v>
      </c>
      <c r="E71" t="s">
        <v>97</v>
      </c>
      <c r="F71">
        <v>40</v>
      </c>
      <c r="G71">
        <v>60</v>
      </c>
      <c r="H71" t="s">
        <v>86</v>
      </c>
      <c r="I71">
        <v>43750</v>
      </c>
      <c r="J71">
        <v>43750</v>
      </c>
      <c r="K71">
        <v>26250</v>
      </c>
      <c r="L71">
        <f t="shared" si="1"/>
        <v>10500</v>
      </c>
      <c r="M71" t="s">
        <v>17</v>
      </c>
      <c r="N71" t="s">
        <v>18</v>
      </c>
    </row>
    <row r="72" spans="1:14" x14ac:dyDescent="0.25">
      <c r="A72" t="s">
        <v>14</v>
      </c>
      <c r="B72" s="1">
        <v>46295</v>
      </c>
      <c r="C72" s="1">
        <v>46295</v>
      </c>
      <c r="D72" s="1">
        <v>46385</v>
      </c>
      <c r="E72" t="s">
        <v>98</v>
      </c>
      <c r="F72">
        <v>100</v>
      </c>
      <c r="G72">
        <v>0</v>
      </c>
      <c r="H72" t="s">
        <v>99</v>
      </c>
      <c r="I72">
        <v>14875</v>
      </c>
      <c r="J72">
        <v>14875</v>
      </c>
      <c r="K72">
        <v>14875</v>
      </c>
      <c r="L72">
        <f t="shared" si="1"/>
        <v>14875</v>
      </c>
      <c r="M72" t="s">
        <v>17</v>
      </c>
      <c r="N72" t="s">
        <v>18</v>
      </c>
    </row>
    <row r="73" spans="1:14" x14ac:dyDescent="0.25">
      <c r="A73" t="s">
        <v>14</v>
      </c>
      <c r="B73" s="1">
        <v>46295</v>
      </c>
      <c r="C73" s="1">
        <v>46295</v>
      </c>
      <c r="D73" s="1">
        <v>46385</v>
      </c>
      <c r="E73" t="s">
        <v>100</v>
      </c>
      <c r="F73">
        <v>50</v>
      </c>
      <c r="G73">
        <v>50</v>
      </c>
      <c r="H73" t="s">
        <v>47</v>
      </c>
      <c r="I73">
        <v>25000</v>
      </c>
      <c r="J73">
        <v>25000</v>
      </c>
      <c r="K73">
        <v>8750</v>
      </c>
      <c r="L73">
        <f t="shared" si="1"/>
        <v>4375</v>
      </c>
      <c r="M73" t="s">
        <v>17</v>
      </c>
      <c r="N73" t="s">
        <v>33</v>
      </c>
    </row>
    <row r="74" spans="1:14" x14ac:dyDescent="0.25">
      <c r="A74" t="s">
        <v>14</v>
      </c>
      <c r="B74" s="1">
        <v>46295</v>
      </c>
      <c r="C74" s="1">
        <v>46295</v>
      </c>
      <c r="D74" s="1">
        <v>46385</v>
      </c>
      <c r="E74" t="s">
        <v>101</v>
      </c>
      <c r="F74">
        <v>50</v>
      </c>
      <c r="G74">
        <v>50</v>
      </c>
      <c r="H74" t="s">
        <v>44</v>
      </c>
      <c r="I74">
        <v>25000</v>
      </c>
      <c r="J74">
        <v>25000</v>
      </c>
      <c r="K74">
        <v>1250</v>
      </c>
      <c r="L74">
        <f t="shared" si="1"/>
        <v>625</v>
      </c>
      <c r="M74" t="s">
        <v>17</v>
      </c>
      <c r="N74" t="s">
        <v>33</v>
      </c>
    </row>
    <row r="75" spans="1:14" x14ac:dyDescent="0.25">
      <c r="A75" t="s">
        <v>14</v>
      </c>
      <c r="B75" s="1">
        <v>46295</v>
      </c>
      <c r="C75" s="1">
        <v>46295</v>
      </c>
      <c r="D75" s="1">
        <v>46385</v>
      </c>
      <c r="E75" t="s">
        <v>102</v>
      </c>
      <c r="F75">
        <v>100</v>
      </c>
      <c r="H75" t="s">
        <v>16</v>
      </c>
      <c r="I75">
        <v>106250</v>
      </c>
      <c r="J75">
        <v>106250</v>
      </c>
      <c r="K75">
        <v>53125</v>
      </c>
      <c r="L75">
        <f t="shared" si="1"/>
        <v>53125</v>
      </c>
      <c r="M75" t="s">
        <v>17</v>
      </c>
      <c r="N75" t="s">
        <v>33</v>
      </c>
    </row>
    <row r="76" spans="1:14" x14ac:dyDescent="0.25">
      <c r="A76" t="s">
        <v>14</v>
      </c>
      <c r="B76" s="1">
        <v>46295</v>
      </c>
      <c r="C76" s="1">
        <v>46295</v>
      </c>
      <c r="D76" s="1">
        <v>46385</v>
      </c>
      <c r="E76" t="s">
        <v>103</v>
      </c>
      <c r="F76">
        <v>67</v>
      </c>
      <c r="G76">
        <v>33</v>
      </c>
      <c r="H76" t="s">
        <v>35</v>
      </c>
      <c r="I76">
        <v>6250</v>
      </c>
      <c r="J76">
        <v>6250</v>
      </c>
      <c r="K76">
        <v>1562.5</v>
      </c>
      <c r="L76">
        <f t="shared" si="1"/>
        <v>1046.875</v>
      </c>
      <c r="M76" t="s">
        <v>17</v>
      </c>
      <c r="N76" t="s">
        <v>18</v>
      </c>
    </row>
    <row r="77" spans="1:14" x14ac:dyDescent="0.25">
      <c r="A77" t="s">
        <v>14</v>
      </c>
      <c r="B77" s="1">
        <v>46295</v>
      </c>
      <c r="C77" s="1">
        <v>46295</v>
      </c>
      <c r="D77" s="1">
        <v>46385</v>
      </c>
      <c r="E77" t="s">
        <v>104</v>
      </c>
      <c r="F77">
        <v>50</v>
      </c>
      <c r="G77">
        <v>50</v>
      </c>
      <c r="H77" t="s">
        <v>35</v>
      </c>
      <c r="I77">
        <v>37500</v>
      </c>
      <c r="J77">
        <v>37500</v>
      </c>
      <c r="K77">
        <v>9375</v>
      </c>
      <c r="L77">
        <f t="shared" si="1"/>
        <v>4687.5</v>
      </c>
      <c r="M77" t="s">
        <v>17</v>
      </c>
      <c r="N77" t="s">
        <v>18</v>
      </c>
    </row>
    <row r="78" spans="1:14" x14ac:dyDescent="0.25">
      <c r="A78" t="s">
        <v>14</v>
      </c>
      <c r="B78" s="1">
        <v>46295</v>
      </c>
      <c r="C78" s="1">
        <v>46295</v>
      </c>
      <c r="D78" s="1">
        <v>46385</v>
      </c>
      <c r="E78" t="s">
        <v>105</v>
      </c>
      <c r="H78" t="s">
        <v>26</v>
      </c>
      <c r="I78">
        <v>59175</v>
      </c>
      <c r="J78">
        <v>59175</v>
      </c>
      <c r="K78">
        <v>53257.5</v>
      </c>
      <c r="L78">
        <f t="shared" si="1"/>
        <v>0</v>
      </c>
      <c r="M78" t="s">
        <v>17</v>
      </c>
      <c r="N78" t="s">
        <v>18</v>
      </c>
    </row>
    <row r="79" spans="1:14" x14ac:dyDescent="0.25">
      <c r="A79" t="s">
        <v>14</v>
      </c>
      <c r="B79" s="1">
        <v>46295</v>
      </c>
      <c r="C79" s="1">
        <v>46295</v>
      </c>
      <c r="D79" s="1">
        <v>46385</v>
      </c>
      <c r="E79" t="s">
        <v>106</v>
      </c>
      <c r="F79">
        <v>0</v>
      </c>
      <c r="G79">
        <v>100</v>
      </c>
      <c r="H79" t="s">
        <v>26</v>
      </c>
      <c r="I79">
        <v>75318.75</v>
      </c>
      <c r="J79">
        <v>75318.75</v>
      </c>
      <c r="K79">
        <v>67786.875</v>
      </c>
      <c r="L79">
        <f t="shared" si="1"/>
        <v>0</v>
      </c>
      <c r="M79" t="s">
        <v>17</v>
      </c>
      <c r="N79" t="s">
        <v>18</v>
      </c>
    </row>
    <row r="80" spans="1:14" x14ac:dyDescent="0.25">
      <c r="A80" t="s">
        <v>14</v>
      </c>
      <c r="B80" s="1">
        <v>46295</v>
      </c>
      <c r="C80" s="1">
        <v>46295</v>
      </c>
      <c r="D80" s="1">
        <v>46385</v>
      </c>
      <c r="E80" t="s">
        <v>107</v>
      </c>
      <c r="F80">
        <v>100</v>
      </c>
      <c r="G80">
        <v>0</v>
      </c>
      <c r="H80" t="s">
        <v>47</v>
      </c>
      <c r="I80">
        <v>20237.5</v>
      </c>
      <c r="J80">
        <v>20237.5</v>
      </c>
      <c r="K80">
        <v>7083.125</v>
      </c>
      <c r="L80">
        <f t="shared" si="1"/>
        <v>7083.125</v>
      </c>
      <c r="M80" t="s">
        <v>17</v>
      </c>
      <c r="N80" t="s">
        <v>18</v>
      </c>
    </row>
    <row r="81" spans="1:14" x14ac:dyDescent="0.25">
      <c r="A81" t="s">
        <v>14</v>
      </c>
      <c r="B81" s="1">
        <v>46295</v>
      </c>
      <c r="C81" s="1">
        <v>46295</v>
      </c>
      <c r="D81" s="1">
        <v>46385</v>
      </c>
      <c r="E81" t="s">
        <v>108</v>
      </c>
      <c r="F81">
        <v>0</v>
      </c>
      <c r="G81">
        <v>100</v>
      </c>
      <c r="H81" t="s">
        <v>16</v>
      </c>
      <c r="I81">
        <v>123750</v>
      </c>
      <c r="J81">
        <v>123750</v>
      </c>
      <c r="K81">
        <v>61875</v>
      </c>
      <c r="L81">
        <f t="shared" si="1"/>
        <v>0</v>
      </c>
      <c r="M81" t="s">
        <v>17</v>
      </c>
      <c r="N81" t="s">
        <v>33</v>
      </c>
    </row>
    <row r="82" spans="1:14" x14ac:dyDescent="0.25">
      <c r="A82" t="s">
        <v>14</v>
      </c>
      <c r="B82" s="1">
        <v>46295</v>
      </c>
      <c r="C82" s="1">
        <v>46295</v>
      </c>
      <c r="D82" s="1">
        <v>46385</v>
      </c>
      <c r="E82" t="s">
        <v>109</v>
      </c>
      <c r="F82">
        <v>100</v>
      </c>
      <c r="G82">
        <v>0</v>
      </c>
      <c r="H82" t="s">
        <v>16</v>
      </c>
      <c r="I82">
        <v>15000</v>
      </c>
      <c r="J82">
        <v>15000</v>
      </c>
      <c r="K82">
        <v>7500</v>
      </c>
      <c r="L82">
        <f t="shared" si="1"/>
        <v>7500</v>
      </c>
      <c r="M82" t="s">
        <v>17</v>
      </c>
      <c r="N82" t="s">
        <v>18</v>
      </c>
    </row>
    <row r="83" spans="1:14" x14ac:dyDescent="0.25">
      <c r="A83" t="s">
        <v>14</v>
      </c>
      <c r="B83" s="1">
        <v>46295</v>
      </c>
      <c r="C83" s="1">
        <v>46295</v>
      </c>
      <c r="D83" s="1">
        <v>46385</v>
      </c>
      <c r="E83" t="s">
        <v>110</v>
      </c>
      <c r="G83">
        <v>100</v>
      </c>
      <c r="H83" t="s">
        <v>26</v>
      </c>
      <c r="I83">
        <v>133671.875</v>
      </c>
      <c r="J83">
        <v>133671.875</v>
      </c>
      <c r="K83">
        <v>120304.6875</v>
      </c>
      <c r="L83">
        <f t="shared" si="1"/>
        <v>0</v>
      </c>
      <c r="M83" t="s">
        <v>17</v>
      </c>
      <c r="N83" t="s">
        <v>18</v>
      </c>
    </row>
    <row r="84" spans="1:14" x14ac:dyDescent="0.25">
      <c r="A84" t="s">
        <v>14</v>
      </c>
      <c r="B84" s="1">
        <v>46295</v>
      </c>
      <c r="C84" s="1">
        <v>46295</v>
      </c>
      <c r="D84" s="1">
        <v>46385</v>
      </c>
      <c r="E84" t="s">
        <v>111</v>
      </c>
      <c r="G84">
        <v>100</v>
      </c>
      <c r="H84" t="s">
        <v>26</v>
      </c>
      <c r="I84">
        <v>133671.875</v>
      </c>
      <c r="J84">
        <v>133671.875</v>
      </c>
      <c r="K84">
        <v>120304.6875</v>
      </c>
      <c r="L84">
        <f t="shared" si="1"/>
        <v>0</v>
      </c>
      <c r="M84" t="s">
        <v>17</v>
      </c>
      <c r="N84" t="s">
        <v>18</v>
      </c>
    </row>
    <row r="85" spans="1:14" x14ac:dyDescent="0.25">
      <c r="A85" t="s">
        <v>14</v>
      </c>
      <c r="B85" s="1">
        <v>46295</v>
      </c>
      <c r="C85" s="1">
        <v>46295</v>
      </c>
      <c r="D85" s="1">
        <v>46385</v>
      </c>
      <c r="E85" t="s">
        <v>112</v>
      </c>
      <c r="G85">
        <v>100</v>
      </c>
      <c r="H85" t="s">
        <v>26</v>
      </c>
      <c r="I85">
        <v>267343.75</v>
      </c>
      <c r="J85">
        <v>267343.75</v>
      </c>
      <c r="K85">
        <v>240609.375</v>
      </c>
      <c r="L85">
        <f t="shared" si="1"/>
        <v>0</v>
      </c>
      <c r="M85" t="s">
        <v>17</v>
      </c>
      <c r="N85" t="s">
        <v>18</v>
      </c>
    </row>
    <row r="86" spans="1:14" x14ac:dyDescent="0.25">
      <c r="A86" t="s">
        <v>14</v>
      </c>
      <c r="B86" s="1">
        <v>46295</v>
      </c>
      <c r="C86" s="1">
        <v>46295</v>
      </c>
      <c r="D86" s="1">
        <v>46385</v>
      </c>
      <c r="E86" t="s">
        <v>113</v>
      </c>
      <c r="F86">
        <v>100</v>
      </c>
      <c r="G86">
        <v>0</v>
      </c>
      <c r="H86" t="s">
        <v>23</v>
      </c>
      <c r="I86">
        <v>25000</v>
      </c>
      <c r="J86">
        <v>25000</v>
      </c>
      <c r="K86">
        <v>18750</v>
      </c>
      <c r="L86">
        <f t="shared" si="1"/>
        <v>18750</v>
      </c>
      <c r="M86" t="s">
        <v>17</v>
      </c>
      <c r="N86" t="s">
        <v>18</v>
      </c>
    </row>
    <row r="87" spans="1:14" x14ac:dyDescent="0.25">
      <c r="A87" t="s">
        <v>14</v>
      </c>
      <c r="B87" s="1">
        <v>46295</v>
      </c>
      <c r="C87" s="1">
        <v>46295</v>
      </c>
      <c r="D87" s="1">
        <v>46385</v>
      </c>
      <c r="E87" t="s">
        <v>114</v>
      </c>
      <c r="F87">
        <v>10</v>
      </c>
      <c r="G87">
        <v>40</v>
      </c>
      <c r="H87" t="s">
        <v>26</v>
      </c>
      <c r="I87">
        <v>187500</v>
      </c>
      <c r="J87">
        <v>187500</v>
      </c>
      <c r="K87">
        <v>168750</v>
      </c>
      <c r="L87">
        <f t="shared" si="1"/>
        <v>16875</v>
      </c>
      <c r="M87" t="s">
        <v>17</v>
      </c>
      <c r="N87" t="s">
        <v>27</v>
      </c>
    </row>
    <row r="88" spans="1:14" x14ac:dyDescent="0.25">
      <c r="A88" t="s">
        <v>14</v>
      </c>
      <c r="B88" s="1">
        <v>46295</v>
      </c>
      <c r="C88" s="1">
        <v>46295</v>
      </c>
      <c r="D88" s="1">
        <v>46385</v>
      </c>
      <c r="E88" t="s">
        <v>115</v>
      </c>
      <c r="F88">
        <v>100</v>
      </c>
      <c r="G88">
        <v>0</v>
      </c>
      <c r="H88" t="s">
        <v>16</v>
      </c>
      <c r="I88">
        <v>9500</v>
      </c>
      <c r="J88">
        <v>9500</v>
      </c>
      <c r="K88">
        <v>4750</v>
      </c>
      <c r="L88">
        <f t="shared" si="1"/>
        <v>4750</v>
      </c>
      <c r="M88" t="s">
        <v>17</v>
      </c>
      <c r="N88" t="s">
        <v>18</v>
      </c>
    </row>
    <row r="89" spans="1:14" x14ac:dyDescent="0.25">
      <c r="A89" t="s">
        <v>14</v>
      </c>
      <c r="B89" s="1">
        <v>46295</v>
      </c>
      <c r="C89" s="1">
        <v>46295</v>
      </c>
      <c r="D89" s="1">
        <v>46385</v>
      </c>
      <c r="E89" t="s">
        <v>116</v>
      </c>
      <c r="F89">
        <v>20</v>
      </c>
      <c r="G89">
        <v>80</v>
      </c>
      <c r="H89" t="s">
        <v>35</v>
      </c>
      <c r="I89">
        <v>175000</v>
      </c>
      <c r="J89">
        <v>175000</v>
      </c>
      <c r="K89">
        <v>43750</v>
      </c>
      <c r="L89">
        <f t="shared" si="1"/>
        <v>8750</v>
      </c>
      <c r="M89" t="s">
        <v>17</v>
      </c>
      <c r="N89" t="s">
        <v>18</v>
      </c>
    </row>
    <row r="90" spans="1:14" x14ac:dyDescent="0.25">
      <c r="A90" t="s">
        <v>14</v>
      </c>
      <c r="B90" s="1">
        <v>46295</v>
      </c>
      <c r="C90" s="1">
        <v>46295</v>
      </c>
      <c r="D90" s="1">
        <v>46385</v>
      </c>
      <c r="E90" t="s">
        <v>117</v>
      </c>
      <c r="H90" t="s">
        <v>35</v>
      </c>
      <c r="I90">
        <v>125000</v>
      </c>
      <c r="J90">
        <v>125000</v>
      </c>
      <c r="K90">
        <v>31250</v>
      </c>
      <c r="L90">
        <f t="shared" si="1"/>
        <v>0</v>
      </c>
      <c r="M90" t="s">
        <v>17</v>
      </c>
      <c r="N90" t="s">
        <v>18</v>
      </c>
    </row>
    <row r="91" spans="1:14" x14ac:dyDescent="0.25">
      <c r="A91" t="s">
        <v>14</v>
      </c>
      <c r="B91" s="1">
        <v>46295</v>
      </c>
      <c r="C91" s="1">
        <v>46295</v>
      </c>
      <c r="D91" s="1">
        <v>46385</v>
      </c>
      <c r="E91" t="s">
        <v>118</v>
      </c>
      <c r="F91">
        <v>50</v>
      </c>
      <c r="G91">
        <v>50</v>
      </c>
      <c r="H91" t="s">
        <v>47</v>
      </c>
      <c r="I91">
        <v>83125</v>
      </c>
      <c r="J91">
        <v>83125</v>
      </c>
      <c r="K91">
        <v>29093.75</v>
      </c>
      <c r="L91">
        <f t="shared" si="1"/>
        <v>14546.875</v>
      </c>
      <c r="M91" t="s">
        <v>17</v>
      </c>
      <c r="N91" t="s">
        <v>18</v>
      </c>
    </row>
    <row r="92" spans="1:14" x14ac:dyDescent="0.25">
      <c r="A92" t="s">
        <v>14</v>
      </c>
      <c r="B92" s="1">
        <v>46295</v>
      </c>
      <c r="C92" s="1">
        <v>46295</v>
      </c>
      <c r="D92" s="1">
        <v>46385</v>
      </c>
      <c r="E92" t="s">
        <v>119</v>
      </c>
      <c r="F92">
        <v>100</v>
      </c>
      <c r="H92" t="s">
        <v>16</v>
      </c>
      <c r="I92">
        <v>34500</v>
      </c>
      <c r="J92">
        <v>34500</v>
      </c>
      <c r="K92">
        <v>17250</v>
      </c>
      <c r="L92">
        <f t="shared" si="1"/>
        <v>17250</v>
      </c>
      <c r="M92" t="s">
        <v>17</v>
      </c>
      <c r="N92" t="s">
        <v>18</v>
      </c>
    </row>
    <row r="93" spans="1:14" x14ac:dyDescent="0.25">
      <c r="A93" t="s">
        <v>14</v>
      </c>
      <c r="B93" s="1">
        <v>46295</v>
      </c>
      <c r="C93" s="1">
        <v>46295</v>
      </c>
      <c r="D93" s="1">
        <v>46385</v>
      </c>
      <c r="E93" t="s">
        <v>120</v>
      </c>
      <c r="H93" t="s">
        <v>16</v>
      </c>
      <c r="I93">
        <v>27125</v>
      </c>
      <c r="J93">
        <v>27125</v>
      </c>
      <c r="K93">
        <v>13562.5</v>
      </c>
      <c r="L93">
        <f t="shared" si="1"/>
        <v>0</v>
      </c>
      <c r="M93" t="s">
        <v>17</v>
      </c>
      <c r="N93" t="s">
        <v>18</v>
      </c>
    </row>
    <row r="94" spans="1:14" x14ac:dyDescent="0.25">
      <c r="A94" t="s">
        <v>14</v>
      </c>
      <c r="B94" s="1">
        <v>46295</v>
      </c>
      <c r="C94" s="1">
        <v>46295</v>
      </c>
      <c r="D94" s="1">
        <v>46385</v>
      </c>
      <c r="E94" t="s">
        <v>121</v>
      </c>
      <c r="F94">
        <v>100</v>
      </c>
      <c r="H94" t="s">
        <v>16</v>
      </c>
      <c r="I94">
        <v>97500</v>
      </c>
      <c r="J94">
        <v>97500</v>
      </c>
      <c r="K94">
        <v>48750</v>
      </c>
      <c r="L94">
        <f t="shared" si="1"/>
        <v>48750</v>
      </c>
      <c r="M94" t="s">
        <v>17</v>
      </c>
      <c r="N94" t="s">
        <v>33</v>
      </c>
    </row>
    <row r="95" spans="1:14" x14ac:dyDescent="0.25">
      <c r="A95" t="s">
        <v>14</v>
      </c>
      <c r="B95" s="1">
        <v>46295</v>
      </c>
      <c r="C95" s="1">
        <v>46295</v>
      </c>
      <c r="D95" s="1">
        <v>46385</v>
      </c>
      <c r="E95" t="s">
        <v>122</v>
      </c>
      <c r="F95">
        <v>50</v>
      </c>
      <c r="G95">
        <v>50</v>
      </c>
      <c r="H95" t="s">
        <v>16</v>
      </c>
      <c r="I95">
        <v>127500</v>
      </c>
      <c r="J95">
        <v>127500</v>
      </c>
      <c r="K95">
        <v>63750</v>
      </c>
      <c r="L95">
        <f t="shared" si="1"/>
        <v>31875</v>
      </c>
      <c r="M95" t="s">
        <v>17</v>
      </c>
      <c r="N95" t="s">
        <v>18</v>
      </c>
    </row>
    <row r="96" spans="1:14" x14ac:dyDescent="0.25">
      <c r="A96" t="s">
        <v>14</v>
      </c>
      <c r="B96" s="1">
        <v>46290</v>
      </c>
      <c r="C96" s="1">
        <v>46290</v>
      </c>
      <c r="D96" s="1">
        <v>46380</v>
      </c>
      <c r="E96" t="s">
        <v>123</v>
      </c>
      <c r="F96">
        <v>100</v>
      </c>
      <c r="G96">
        <v>0</v>
      </c>
      <c r="H96" t="s">
        <v>47</v>
      </c>
      <c r="I96">
        <v>52500</v>
      </c>
      <c r="J96">
        <v>52500</v>
      </c>
      <c r="K96">
        <v>18375</v>
      </c>
      <c r="L96">
        <f t="shared" si="1"/>
        <v>18375</v>
      </c>
      <c r="M96" t="s">
        <v>17</v>
      </c>
      <c r="N96" t="s">
        <v>27</v>
      </c>
    </row>
    <row r="97" spans="1:14" x14ac:dyDescent="0.25">
      <c r="A97" t="s">
        <v>14</v>
      </c>
      <c r="B97" s="1">
        <v>46290</v>
      </c>
      <c r="C97" s="1">
        <v>46290</v>
      </c>
      <c r="D97" s="1">
        <v>46380</v>
      </c>
      <c r="E97" t="s">
        <v>124</v>
      </c>
      <c r="F97">
        <v>100</v>
      </c>
      <c r="G97">
        <v>0</v>
      </c>
      <c r="H97" t="s">
        <v>16</v>
      </c>
      <c r="I97">
        <v>37375</v>
      </c>
      <c r="J97">
        <v>37375</v>
      </c>
      <c r="K97">
        <v>18687.5</v>
      </c>
      <c r="L97">
        <f t="shared" si="1"/>
        <v>18687.5</v>
      </c>
      <c r="M97" t="s">
        <v>17</v>
      </c>
      <c r="N97" t="s">
        <v>18</v>
      </c>
    </row>
    <row r="98" spans="1:14" x14ac:dyDescent="0.25">
      <c r="A98" t="s">
        <v>14</v>
      </c>
      <c r="B98" s="1">
        <v>46290</v>
      </c>
      <c r="C98" s="1">
        <v>46290</v>
      </c>
      <c r="D98" s="1">
        <v>46380</v>
      </c>
      <c r="E98" t="s">
        <v>125</v>
      </c>
      <c r="F98">
        <v>100</v>
      </c>
      <c r="G98">
        <v>0</v>
      </c>
      <c r="H98" t="s">
        <v>16</v>
      </c>
      <c r="I98">
        <v>37375</v>
      </c>
      <c r="J98">
        <v>37375</v>
      </c>
      <c r="K98">
        <v>18687.5</v>
      </c>
      <c r="L98">
        <f t="shared" si="1"/>
        <v>18687.5</v>
      </c>
      <c r="M98" t="s">
        <v>17</v>
      </c>
      <c r="N98" t="s">
        <v>18</v>
      </c>
    </row>
    <row r="99" spans="1:14" x14ac:dyDescent="0.25">
      <c r="A99" t="s">
        <v>14</v>
      </c>
      <c r="B99" s="1">
        <v>46290</v>
      </c>
      <c r="C99" s="1">
        <v>46290</v>
      </c>
      <c r="D99" s="1">
        <v>46380</v>
      </c>
      <c r="E99" t="s">
        <v>126</v>
      </c>
      <c r="F99">
        <v>100</v>
      </c>
      <c r="H99" t="s">
        <v>23</v>
      </c>
      <c r="I99">
        <v>23625</v>
      </c>
      <c r="J99">
        <v>23625</v>
      </c>
      <c r="K99">
        <v>17718.75</v>
      </c>
      <c r="L99">
        <f t="shared" si="1"/>
        <v>17718.75</v>
      </c>
      <c r="M99" t="s">
        <v>17</v>
      </c>
      <c r="N99" t="s">
        <v>33</v>
      </c>
    </row>
    <row r="100" spans="1:14" x14ac:dyDescent="0.25">
      <c r="A100" t="s">
        <v>14</v>
      </c>
      <c r="B100" s="1">
        <v>46283</v>
      </c>
      <c r="C100" s="1">
        <v>46283</v>
      </c>
      <c r="D100" s="1">
        <v>46373</v>
      </c>
      <c r="E100" t="s">
        <v>127</v>
      </c>
      <c r="G100">
        <v>100</v>
      </c>
      <c r="H100" t="s">
        <v>23</v>
      </c>
      <c r="I100">
        <v>162500</v>
      </c>
      <c r="J100">
        <v>162500</v>
      </c>
      <c r="K100">
        <v>121875</v>
      </c>
      <c r="L100">
        <f t="shared" si="1"/>
        <v>0</v>
      </c>
      <c r="M100" t="s">
        <v>17</v>
      </c>
      <c r="N100" t="s">
        <v>18</v>
      </c>
    </row>
    <row r="101" spans="1:14" x14ac:dyDescent="0.25">
      <c r="A101" t="s">
        <v>14</v>
      </c>
      <c r="B101" s="1">
        <v>46283</v>
      </c>
      <c r="C101" s="1">
        <v>46283</v>
      </c>
      <c r="D101" s="1">
        <v>46373</v>
      </c>
      <c r="E101" t="s">
        <v>128</v>
      </c>
      <c r="F101">
        <v>100</v>
      </c>
      <c r="H101" t="s">
        <v>26</v>
      </c>
      <c r="I101">
        <v>29400</v>
      </c>
      <c r="J101">
        <v>29400</v>
      </c>
      <c r="K101">
        <v>26460</v>
      </c>
      <c r="L101">
        <f t="shared" si="1"/>
        <v>26460</v>
      </c>
      <c r="M101" t="s">
        <v>17</v>
      </c>
      <c r="N101" t="s">
        <v>33</v>
      </c>
    </row>
    <row r="102" spans="1:14" x14ac:dyDescent="0.25">
      <c r="A102" t="s">
        <v>14</v>
      </c>
      <c r="B102" s="1">
        <v>46276</v>
      </c>
      <c r="C102" s="1">
        <v>46276</v>
      </c>
      <c r="D102" s="1">
        <v>46366</v>
      </c>
      <c r="E102" t="s">
        <v>129</v>
      </c>
      <c r="F102">
        <v>100</v>
      </c>
      <c r="G102">
        <v>0</v>
      </c>
      <c r="H102" t="s">
        <v>47</v>
      </c>
      <c r="I102">
        <v>200000</v>
      </c>
      <c r="J102">
        <v>200000</v>
      </c>
      <c r="K102">
        <v>70000</v>
      </c>
      <c r="L102">
        <f t="shared" si="1"/>
        <v>70000</v>
      </c>
      <c r="M102" t="s">
        <v>17</v>
      </c>
      <c r="N102" t="s">
        <v>33</v>
      </c>
    </row>
    <row r="103" spans="1:14" x14ac:dyDescent="0.25">
      <c r="A103" t="s">
        <v>14</v>
      </c>
      <c r="B103" s="1">
        <v>46276</v>
      </c>
      <c r="C103" s="1">
        <v>46276</v>
      </c>
      <c r="D103" s="1">
        <v>46366</v>
      </c>
      <c r="E103" t="s">
        <v>130</v>
      </c>
      <c r="F103">
        <v>100</v>
      </c>
      <c r="G103">
        <v>0</v>
      </c>
      <c r="H103" t="s">
        <v>26</v>
      </c>
      <c r="I103">
        <v>76000</v>
      </c>
      <c r="J103">
        <v>76000</v>
      </c>
      <c r="K103">
        <v>68400</v>
      </c>
      <c r="L103">
        <f t="shared" si="1"/>
        <v>68400</v>
      </c>
      <c r="M103" t="s">
        <v>17</v>
      </c>
      <c r="N103" t="s">
        <v>18</v>
      </c>
    </row>
    <row r="104" spans="1:14" x14ac:dyDescent="0.25">
      <c r="A104" t="s">
        <v>14</v>
      </c>
      <c r="B104" s="1">
        <v>46276</v>
      </c>
      <c r="C104" s="1">
        <v>46276</v>
      </c>
      <c r="D104" s="1">
        <v>46366</v>
      </c>
      <c r="E104" t="s">
        <v>131</v>
      </c>
      <c r="G104">
        <v>100</v>
      </c>
      <c r="H104" t="s">
        <v>26</v>
      </c>
      <c r="I104">
        <v>203125</v>
      </c>
      <c r="J104">
        <v>203125</v>
      </c>
      <c r="K104">
        <v>182812.5</v>
      </c>
      <c r="L104">
        <f t="shared" si="1"/>
        <v>0</v>
      </c>
      <c r="M104" t="s">
        <v>17</v>
      </c>
      <c r="N104" t="s">
        <v>18</v>
      </c>
    </row>
    <row r="105" spans="1:14" x14ac:dyDescent="0.25">
      <c r="A105" t="s">
        <v>14</v>
      </c>
      <c r="B105" s="1">
        <v>46276</v>
      </c>
      <c r="C105" s="1">
        <v>46276</v>
      </c>
      <c r="D105" s="1">
        <v>46366</v>
      </c>
      <c r="E105" t="s">
        <v>132</v>
      </c>
      <c r="F105">
        <v>100</v>
      </c>
      <c r="G105">
        <v>0</v>
      </c>
      <c r="H105" t="s">
        <v>99</v>
      </c>
      <c r="I105">
        <v>4000</v>
      </c>
      <c r="J105">
        <v>4000</v>
      </c>
      <c r="K105">
        <v>4000</v>
      </c>
      <c r="L105">
        <f t="shared" si="1"/>
        <v>4000</v>
      </c>
      <c r="M105" t="s">
        <v>17</v>
      </c>
      <c r="N105" t="s">
        <v>18</v>
      </c>
    </row>
    <row r="106" spans="1:14" x14ac:dyDescent="0.25">
      <c r="A106" t="s">
        <v>14</v>
      </c>
      <c r="B106" s="1">
        <v>46276</v>
      </c>
      <c r="C106" s="1">
        <v>46276</v>
      </c>
      <c r="D106" s="1">
        <v>46366</v>
      </c>
      <c r="E106" t="s">
        <v>133</v>
      </c>
      <c r="F106">
        <v>0</v>
      </c>
      <c r="G106">
        <v>100</v>
      </c>
      <c r="H106" t="s">
        <v>99</v>
      </c>
      <c r="I106">
        <v>93125</v>
      </c>
      <c r="J106">
        <v>93125</v>
      </c>
      <c r="K106">
        <v>93125</v>
      </c>
      <c r="L106">
        <f t="shared" si="1"/>
        <v>0</v>
      </c>
      <c r="M106" t="s">
        <v>17</v>
      </c>
      <c r="N106" t="s">
        <v>18</v>
      </c>
    </row>
    <row r="107" spans="1:14" x14ac:dyDescent="0.25">
      <c r="A107" t="s">
        <v>14</v>
      </c>
      <c r="B107" s="1">
        <v>46265</v>
      </c>
      <c r="C107" s="1">
        <v>46265</v>
      </c>
      <c r="D107" s="1">
        <v>46355</v>
      </c>
      <c r="E107" t="s">
        <v>134</v>
      </c>
      <c r="H107" t="s">
        <v>47</v>
      </c>
      <c r="I107">
        <v>75000</v>
      </c>
      <c r="J107">
        <v>75000</v>
      </c>
      <c r="K107">
        <v>26250</v>
      </c>
      <c r="L107">
        <f t="shared" si="1"/>
        <v>0</v>
      </c>
      <c r="M107" t="s">
        <v>17</v>
      </c>
      <c r="N107" t="s">
        <v>33</v>
      </c>
    </row>
    <row r="108" spans="1:14" x14ac:dyDescent="0.25">
      <c r="A108" t="s">
        <v>14</v>
      </c>
      <c r="B108" s="1">
        <v>46265</v>
      </c>
      <c r="C108" s="1">
        <v>46265</v>
      </c>
      <c r="D108" s="1">
        <v>46355</v>
      </c>
      <c r="E108" t="s">
        <v>135</v>
      </c>
      <c r="H108" t="s">
        <v>56</v>
      </c>
      <c r="I108">
        <v>29375</v>
      </c>
      <c r="J108">
        <v>29375</v>
      </c>
      <c r="K108">
        <v>2937.5</v>
      </c>
      <c r="L108">
        <f t="shared" si="1"/>
        <v>0</v>
      </c>
      <c r="M108" t="s">
        <v>17</v>
      </c>
      <c r="N108" t="s">
        <v>18</v>
      </c>
    </row>
    <row r="109" spans="1:14" x14ac:dyDescent="0.25">
      <c r="A109" t="s">
        <v>14</v>
      </c>
      <c r="B109" s="1">
        <v>46265</v>
      </c>
      <c r="C109" s="1">
        <v>46265</v>
      </c>
      <c r="D109" s="1">
        <v>46355</v>
      </c>
      <c r="E109" t="s">
        <v>136</v>
      </c>
      <c r="F109">
        <v>100</v>
      </c>
      <c r="G109">
        <v>0</v>
      </c>
      <c r="H109" t="s">
        <v>16</v>
      </c>
      <c r="I109">
        <v>106250</v>
      </c>
      <c r="J109">
        <v>106250</v>
      </c>
      <c r="K109">
        <v>53125</v>
      </c>
      <c r="L109">
        <f t="shared" si="1"/>
        <v>53125</v>
      </c>
      <c r="M109" t="s">
        <v>17</v>
      </c>
      <c r="N109" t="s">
        <v>18</v>
      </c>
    </row>
    <row r="110" spans="1:14" x14ac:dyDescent="0.25">
      <c r="A110" t="s">
        <v>14</v>
      </c>
      <c r="B110" s="1">
        <v>46265</v>
      </c>
      <c r="C110" s="1">
        <v>46265</v>
      </c>
      <c r="D110" s="1">
        <v>46355</v>
      </c>
      <c r="E110" t="s">
        <v>137</v>
      </c>
      <c r="F110">
        <v>0</v>
      </c>
      <c r="G110">
        <v>100</v>
      </c>
      <c r="H110" t="s">
        <v>56</v>
      </c>
      <c r="I110">
        <v>9250</v>
      </c>
      <c r="J110">
        <v>9250</v>
      </c>
      <c r="K110">
        <v>925</v>
      </c>
      <c r="L110">
        <f t="shared" si="1"/>
        <v>0</v>
      </c>
      <c r="M110" t="s">
        <v>17</v>
      </c>
      <c r="N110" t="s">
        <v>18</v>
      </c>
    </row>
    <row r="111" spans="1:14" x14ac:dyDescent="0.25">
      <c r="A111" t="s">
        <v>14</v>
      </c>
      <c r="B111" s="1">
        <v>46265</v>
      </c>
      <c r="C111" s="1">
        <v>46265</v>
      </c>
      <c r="D111" s="1">
        <v>46355</v>
      </c>
      <c r="E111" t="s">
        <v>138</v>
      </c>
      <c r="F111">
        <v>100</v>
      </c>
      <c r="H111" t="s">
        <v>16</v>
      </c>
      <c r="I111">
        <v>192500</v>
      </c>
      <c r="J111">
        <v>192500</v>
      </c>
      <c r="K111">
        <v>96250</v>
      </c>
      <c r="L111">
        <f t="shared" si="1"/>
        <v>96250</v>
      </c>
      <c r="M111" t="s">
        <v>17</v>
      </c>
      <c r="N111" t="s">
        <v>18</v>
      </c>
    </row>
    <row r="112" spans="1:14" x14ac:dyDescent="0.25">
      <c r="A112" t="s">
        <v>14</v>
      </c>
      <c r="B112" s="1">
        <v>46265</v>
      </c>
      <c r="C112" s="1">
        <v>46265</v>
      </c>
      <c r="D112" s="1">
        <v>46355</v>
      </c>
      <c r="E112" t="s">
        <v>139</v>
      </c>
      <c r="F112">
        <v>30</v>
      </c>
      <c r="G112">
        <v>80</v>
      </c>
      <c r="H112" t="s">
        <v>86</v>
      </c>
      <c r="I112">
        <v>75000</v>
      </c>
      <c r="J112">
        <v>75000</v>
      </c>
      <c r="K112">
        <v>45000</v>
      </c>
      <c r="L112">
        <f t="shared" si="1"/>
        <v>13500</v>
      </c>
      <c r="M112" t="s">
        <v>17</v>
      </c>
      <c r="N112" t="s">
        <v>33</v>
      </c>
    </row>
    <row r="113" spans="1:14" x14ac:dyDescent="0.25">
      <c r="A113" t="s">
        <v>14</v>
      </c>
      <c r="B113" s="1">
        <v>46265</v>
      </c>
      <c r="C113" s="1">
        <v>46265</v>
      </c>
      <c r="D113" s="1">
        <v>46355</v>
      </c>
      <c r="E113" t="s">
        <v>140</v>
      </c>
      <c r="H113" t="s">
        <v>16</v>
      </c>
      <c r="I113">
        <v>42500</v>
      </c>
      <c r="J113">
        <v>42500</v>
      </c>
      <c r="K113">
        <v>21250</v>
      </c>
      <c r="L113">
        <f t="shared" si="1"/>
        <v>0</v>
      </c>
      <c r="M113" t="s">
        <v>17</v>
      </c>
      <c r="N113" t="s">
        <v>33</v>
      </c>
    </row>
    <row r="114" spans="1:14" x14ac:dyDescent="0.25">
      <c r="A114" t="s">
        <v>14</v>
      </c>
      <c r="B114" s="1">
        <v>46265</v>
      </c>
      <c r="C114" s="1">
        <v>46265</v>
      </c>
      <c r="D114" s="1">
        <v>46355</v>
      </c>
      <c r="E114" t="s">
        <v>141</v>
      </c>
      <c r="H114" t="s">
        <v>35</v>
      </c>
      <c r="I114">
        <v>25000</v>
      </c>
      <c r="J114">
        <v>25000</v>
      </c>
      <c r="K114">
        <v>6250</v>
      </c>
      <c r="L114">
        <f t="shared" si="1"/>
        <v>0</v>
      </c>
      <c r="M114" t="s">
        <v>17</v>
      </c>
      <c r="N114" t="s">
        <v>33</v>
      </c>
    </row>
    <row r="115" spans="1:14" x14ac:dyDescent="0.25">
      <c r="A115" t="s">
        <v>14</v>
      </c>
      <c r="B115" s="1">
        <v>46265</v>
      </c>
      <c r="C115" s="1">
        <v>46265</v>
      </c>
      <c r="D115" s="1">
        <v>46355</v>
      </c>
      <c r="E115" t="s">
        <v>142</v>
      </c>
      <c r="H115" t="s">
        <v>16</v>
      </c>
      <c r="I115">
        <v>28125</v>
      </c>
      <c r="J115">
        <v>28125</v>
      </c>
      <c r="K115">
        <v>14062.5</v>
      </c>
      <c r="L115">
        <f t="shared" si="1"/>
        <v>0</v>
      </c>
      <c r="M115" t="s">
        <v>17</v>
      </c>
      <c r="N115" t="s">
        <v>33</v>
      </c>
    </row>
    <row r="116" spans="1:14" x14ac:dyDescent="0.25">
      <c r="A116" t="s">
        <v>14</v>
      </c>
      <c r="B116" s="1">
        <v>46264.791666666701</v>
      </c>
      <c r="C116" s="1">
        <v>46264.791666666701</v>
      </c>
      <c r="D116" s="1">
        <v>46354.791666666701</v>
      </c>
      <c r="E116" t="s">
        <v>143</v>
      </c>
      <c r="H116" t="s">
        <v>35</v>
      </c>
      <c r="I116">
        <v>625000</v>
      </c>
      <c r="J116">
        <v>625000</v>
      </c>
      <c r="K116">
        <v>156250</v>
      </c>
      <c r="L116">
        <f t="shared" si="1"/>
        <v>0</v>
      </c>
      <c r="M116" t="s">
        <v>17</v>
      </c>
      <c r="N116" t="s">
        <v>27</v>
      </c>
    </row>
    <row r="117" spans="1:14" x14ac:dyDescent="0.25">
      <c r="A117" t="s">
        <v>14</v>
      </c>
      <c r="B117" s="1">
        <v>46248</v>
      </c>
      <c r="C117" s="1">
        <v>46248</v>
      </c>
      <c r="D117" s="1">
        <v>46338</v>
      </c>
      <c r="E117" t="s">
        <v>144</v>
      </c>
      <c r="H117" t="s">
        <v>16</v>
      </c>
      <c r="I117">
        <v>107375</v>
      </c>
      <c r="J117">
        <v>107375</v>
      </c>
      <c r="K117">
        <v>53687.5</v>
      </c>
      <c r="L117">
        <f t="shared" si="1"/>
        <v>0</v>
      </c>
      <c r="M117" t="s">
        <v>17</v>
      </c>
      <c r="N117" t="s">
        <v>33</v>
      </c>
    </row>
    <row r="118" spans="1:14" x14ac:dyDescent="0.25">
      <c r="A118" t="s">
        <v>14</v>
      </c>
      <c r="B118" s="1">
        <v>46233.791666666701</v>
      </c>
      <c r="C118" s="1">
        <v>46233.791666666701</v>
      </c>
      <c r="D118" s="1">
        <v>46323.791666666701</v>
      </c>
      <c r="E118" t="s">
        <v>145</v>
      </c>
      <c r="H118" t="s">
        <v>86</v>
      </c>
      <c r="I118">
        <v>375000</v>
      </c>
      <c r="J118">
        <v>375000</v>
      </c>
      <c r="K118">
        <v>225000</v>
      </c>
      <c r="L118">
        <f t="shared" si="1"/>
        <v>0</v>
      </c>
      <c r="M118" t="s">
        <v>17</v>
      </c>
      <c r="N118" t="s">
        <v>27</v>
      </c>
    </row>
    <row r="119" spans="1:14" x14ac:dyDescent="0.25">
      <c r="A119" t="s">
        <v>14</v>
      </c>
      <c r="B119" s="1">
        <v>46203</v>
      </c>
      <c r="C119" s="1">
        <v>46203</v>
      </c>
      <c r="D119" s="1">
        <v>46293</v>
      </c>
      <c r="E119" t="s">
        <v>146</v>
      </c>
      <c r="H119" t="s">
        <v>16</v>
      </c>
      <c r="I119">
        <v>29880.474999999999</v>
      </c>
      <c r="J119">
        <v>29880.474999999999</v>
      </c>
      <c r="K119">
        <v>14940.237499999999</v>
      </c>
      <c r="L119">
        <f t="shared" si="1"/>
        <v>0</v>
      </c>
      <c r="M119" t="s">
        <v>17</v>
      </c>
      <c r="N119" t="s">
        <v>33</v>
      </c>
    </row>
    <row r="120" spans="1:14" x14ac:dyDescent="0.25">
      <c r="A120" t="s">
        <v>14</v>
      </c>
      <c r="B120" s="1">
        <v>46203</v>
      </c>
      <c r="C120" s="1">
        <v>46203</v>
      </c>
      <c r="D120" s="1">
        <v>46293</v>
      </c>
      <c r="E120" t="s">
        <v>147</v>
      </c>
      <c r="I120">
        <v>12500</v>
      </c>
      <c r="J120">
        <v>12500</v>
      </c>
      <c r="K120">
        <v>0</v>
      </c>
      <c r="L120">
        <f t="shared" si="1"/>
        <v>0</v>
      </c>
      <c r="M120" t="s">
        <v>17</v>
      </c>
      <c r="N120" t="s">
        <v>33</v>
      </c>
    </row>
    <row r="121" spans="1:14" x14ac:dyDescent="0.25">
      <c r="A121" t="s">
        <v>14</v>
      </c>
      <c r="B121" s="1">
        <v>46203</v>
      </c>
      <c r="C121" s="1">
        <v>46203</v>
      </c>
      <c r="D121" s="1">
        <v>46293</v>
      </c>
      <c r="E121" t="s">
        <v>148</v>
      </c>
      <c r="F121">
        <v>50</v>
      </c>
      <c r="G121">
        <v>50</v>
      </c>
      <c r="H121" t="s">
        <v>56</v>
      </c>
      <c r="I121">
        <v>43750</v>
      </c>
      <c r="J121">
        <v>43750</v>
      </c>
      <c r="K121">
        <v>4375</v>
      </c>
      <c r="L121">
        <f t="shared" si="1"/>
        <v>2187.5</v>
      </c>
      <c r="M121" t="s">
        <v>17</v>
      </c>
      <c r="N121" t="s">
        <v>33</v>
      </c>
    </row>
    <row r="122" spans="1:14" x14ac:dyDescent="0.25">
      <c r="A122" t="s">
        <v>14</v>
      </c>
      <c r="B122" s="1">
        <v>46203</v>
      </c>
      <c r="C122" s="1">
        <v>46203</v>
      </c>
      <c r="D122" s="1">
        <v>46293</v>
      </c>
      <c r="E122" t="s">
        <v>149</v>
      </c>
      <c r="H122" t="s">
        <v>86</v>
      </c>
      <c r="I122">
        <v>12500</v>
      </c>
      <c r="J122">
        <v>12500</v>
      </c>
      <c r="K122">
        <v>7500</v>
      </c>
      <c r="L122">
        <f t="shared" si="1"/>
        <v>0</v>
      </c>
      <c r="M122" t="s">
        <v>17</v>
      </c>
      <c r="N122" t="s">
        <v>33</v>
      </c>
    </row>
    <row r="123" spans="1:14" x14ac:dyDescent="0.25">
      <c r="A123" t="s">
        <v>14</v>
      </c>
      <c r="B123" s="1">
        <v>46203</v>
      </c>
      <c r="C123" s="1">
        <v>46203</v>
      </c>
      <c r="D123" s="1">
        <v>46293</v>
      </c>
      <c r="E123" t="s">
        <v>150</v>
      </c>
      <c r="I123">
        <v>37500</v>
      </c>
      <c r="J123">
        <v>37500</v>
      </c>
      <c r="K123">
        <v>0</v>
      </c>
      <c r="L123">
        <f t="shared" si="1"/>
        <v>0</v>
      </c>
      <c r="M123" t="s">
        <v>17</v>
      </c>
      <c r="N123" t="s">
        <v>33</v>
      </c>
    </row>
    <row r="124" spans="1:14" x14ac:dyDescent="0.25">
      <c r="A124" t="s">
        <v>14</v>
      </c>
      <c r="B124" s="1">
        <v>46171</v>
      </c>
      <c r="C124" s="1">
        <v>46171</v>
      </c>
      <c r="D124" s="1">
        <v>46261</v>
      </c>
      <c r="E124" t="s">
        <v>151</v>
      </c>
      <c r="F124">
        <v>100</v>
      </c>
      <c r="H124" t="s">
        <v>47</v>
      </c>
      <c r="I124">
        <v>22687.5</v>
      </c>
      <c r="J124">
        <v>22687.5</v>
      </c>
      <c r="K124">
        <v>7940.625</v>
      </c>
      <c r="L124">
        <f t="shared" si="1"/>
        <v>7940.625</v>
      </c>
      <c r="M124" t="s">
        <v>17</v>
      </c>
      <c r="N124" t="s">
        <v>18</v>
      </c>
    </row>
    <row r="125" spans="1:14" x14ac:dyDescent="0.25">
      <c r="A125" t="s">
        <v>14</v>
      </c>
      <c r="B125" s="1">
        <v>46142</v>
      </c>
      <c r="C125" s="1">
        <v>46142</v>
      </c>
      <c r="D125" s="1">
        <v>46232</v>
      </c>
      <c r="E125" t="s">
        <v>152</v>
      </c>
      <c r="F125">
        <v>100</v>
      </c>
      <c r="H125" t="s">
        <v>16</v>
      </c>
      <c r="I125">
        <v>4868.75</v>
      </c>
      <c r="J125">
        <v>4868.75</v>
      </c>
      <c r="K125">
        <v>2434.375</v>
      </c>
      <c r="L125">
        <f>K125*F125/100</f>
        <v>2434.375</v>
      </c>
      <c r="M125" t="s">
        <v>17</v>
      </c>
      <c r="N125" t="s">
        <v>18</v>
      </c>
    </row>
    <row r="126" spans="1:14" x14ac:dyDescent="0.25">
      <c r="A126" t="s">
        <v>14</v>
      </c>
      <c r="B126" s="1">
        <v>45901</v>
      </c>
      <c r="C126" s="1">
        <v>45901</v>
      </c>
      <c r="D126" s="1">
        <v>45991</v>
      </c>
      <c r="E126" t="s">
        <v>153</v>
      </c>
      <c r="H126" t="s">
        <v>16</v>
      </c>
      <c r="I126">
        <v>937500</v>
      </c>
      <c r="J126">
        <v>937500</v>
      </c>
      <c r="K126">
        <v>0</v>
      </c>
      <c r="L126">
        <f t="shared" si="1"/>
        <v>0</v>
      </c>
      <c r="M126" t="s">
        <v>17</v>
      </c>
      <c r="N126" t="s">
        <v>27</v>
      </c>
    </row>
    <row r="127" spans="1:14" x14ac:dyDescent="0.25">
      <c r="A127" t="s">
        <v>14</v>
      </c>
      <c r="B127" s="1">
        <v>45533.791666666701</v>
      </c>
      <c r="C127" s="1">
        <v>45533.791666666701</v>
      </c>
      <c r="D127" s="1">
        <v>45623.791666666701</v>
      </c>
      <c r="E127" t="s">
        <v>154</v>
      </c>
      <c r="H127" t="s">
        <v>35</v>
      </c>
      <c r="I127">
        <v>50000</v>
      </c>
      <c r="J127">
        <v>50000</v>
      </c>
      <c r="K127">
        <v>12500</v>
      </c>
      <c r="L127">
        <f t="shared" si="1"/>
        <v>0</v>
      </c>
      <c r="M127" t="s">
        <v>17</v>
      </c>
      <c r="N1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Mia Sakström</dc:creator>
  <cp:keywords/>
  <dc:description/>
  <cp:lastModifiedBy>arman golbidi</cp:lastModifiedBy>
  <cp:revision/>
  <dcterms:created xsi:type="dcterms:W3CDTF">2015-06-05T18:17:20Z</dcterms:created>
  <dcterms:modified xsi:type="dcterms:W3CDTF">2026-09-13T09:14:12Z</dcterms:modified>
  <cp:category/>
  <cp:contentStatus/>
</cp:coreProperties>
</file>